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4B71DF3-B72A-4D84-888A-94051BC006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ary Upload Template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1" i="1" l="1"/>
  <c r="M70" i="1"/>
  <c r="M69" i="1"/>
  <c r="M68" i="1"/>
  <c r="M67" i="1"/>
  <c r="M66" i="1"/>
  <c r="M65" i="1"/>
  <c r="M64" i="1"/>
  <c r="M63" i="1"/>
  <c r="M62" i="1"/>
  <c r="M61" i="1"/>
  <c r="M60" i="1"/>
  <c r="M59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I71" i="1" l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1" i="1"/>
  <c r="I10" i="1"/>
  <c r="I9" i="1"/>
  <c r="I8" i="1"/>
  <c r="I7" i="1"/>
  <c r="I6" i="1"/>
  <c r="I5" i="1"/>
  <c r="I4" i="1"/>
  <c r="I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33" authorId="0" shapeId="0" xr:uid="{44F46C0C-2521-4659-BC3F-FFAB0CB145C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Deduct EOBI DEC &amp; JAN</t>
        </r>
      </text>
    </comment>
    <comment ref="B34" authorId="0" shapeId="0" xr:uid="{A40C58E0-45FE-4BCD-AC80-CEB38BAF6DD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Deduct EOBI DEC &amp; JAN</t>
        </r>
      </text>
    </comment>
    <comment ref="B35" authorId="0" shapeId="0" xr:uid="{E6878CF0-66D5-46BD-A47B-1C86ABE64E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Deduct EOBI DEC &amp; JAN</t>
        </r>
      </text>
    </comment>
    <comment ref="B36" authorId="0" shapeId="0" xr:uid="{B89CE66E-7CAB-4522-8974-43E35D5BAED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Deduct EOBI DEC &amp; JAN</t>
        </r>
      </text>
    </comment>
    <comment ref="B37" authorId="0" shapeId="0" xr:uid="{4A69F74D-87C7-452F-91C0-4BAF99DBD05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Deduct EOBI DEC &amp; JAN</t>
        </r>
      </text>
    </comment>
    <comment ref="B38" authorId="0" shapeId="0" xr:uid="{FA3AB55F-C725-4317-A58E-61CA0282394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Deduct EOBI DEC &amp; JAN</t>
        </r>
      </text>
    </comment>
  </commentList>
</comments>
</file>

<file path=xl/sharedStrings.xml><?xml version="1.0" encoding="utf-8"?>
<sst xmlns="http://schemas.openxmlformats.org/spreadsheetml/2006/main" count="223" uniqueCount="185">
  <si>
    <t>Employee_ID</t>
  </si>
  <si>
    <t>Name</t>
  </si>
  <si>
    <t>EOBI</t>
  </si>
  <si>
    <t>DACIPK-0066</t>
  </si>
  <si>
    <t>Abdul Saboor</t>
  </si>
  <si>
    <t>DACIPK-0071</t>
  </si>
  <si>
    <t>Abdul Samad</t>
  </si>
  <si>
    <t>DACIPK-0011</t>
  </si>
  <si>
    <t>Abdullah Saad</t>
  </si>
  <si>
    <t>DACIPK-0063</t>
  </si>
  <si>
    <t>Abdur Rafay</t>
  </si>
  <si>
    <t>DACIPK-0051</t>
  </si>
  <si>
    <t>Abid Ullah</t>
  </si>
  <si>
    <t>DACIPK-0016</t>
  </si>
  <si>
    <t>Ali Atif</t>
  </si>
  <si>
    <t>DACIPK-0084</t>
  </si>
  <si>
    <t>Areeba Butt</t>
  </si>
  <si>
    <t>DACIPK-0065</t>
  </si>
  <si>
    <t>Arsal Khan</t>
  </si>
  <si>
    <t>DACIPK-0022</t>
  </si>
  <si>
    <t>Arslan Ahmed</t>
  </si>
  <si>
    <t>DACIPK-0033</t>
  </si>
  <si>
    <t>Atif Zahoor</t>
  </si>
  <si>
    <t>DACIPK-0048</t>
  </si>
  <si>
    <t>Bahar Khan</t>
  </si>
  <si>
    <t>DACIPK-0057</t>
  </si>
  <si>
    <t>Bilal Ahmad</t>
  </si>
  <si>
    <t>DACIPK-0035</t>
  </si>
  <si>
    <t>Fawad Waheed</t>
  </si>
  <si>
    <t>DACIPK-0001</t>
  </si>
  <si>
    <t>Foaad Ahmed</t>
  </si>
  <si>
    <t>DACIPK-0005</t>
  </si>
  <si>
    <t>Furqan Ahmed Chishti</t>
  </si>
  <si>
    <t>DACIPK-0040</t>
  </si>
  <si>
    <t>Hamza Amjad Abbasi</t>
  </si>
  <si>
    <t>DACIPK-0025</t>
  </si>
  <si>
    <t>Haseeb Ahmad</t>
  </si>
  <si>
    <t>DACIPK-0049</t>
  </si>
  <si>
    <t>Huzaifa Bilal</t>
  </si>
  <si>
    <t>DACIPK-0038</t>
  </si>
  <si>
    <t>Izza Hashmi</t>
  </si>
  <si>
    <t>DACIPK-0087</t>
  </si>
  <si>
    <t>Javeria Nadeem</t>
  </si>
  <si>
    <t>DACIPK-0053</t>
  </si>
  <si>
    <t>Kaleem Ullah</t>
  </si>
  <si>
    <t>DACIPK-0044</t>
  </si>
  <si>
    <t>Karim Ullah</t>
  </si>
  <si>
    <t>DACIPK-0069</t>
  </si>
  <si>
    <t>Kashif Hassan</t>
  </si>
  <si>
    <t>DACIPK-0041</t>
  </si>
  <si>
    <t>Kashif ullah</t>
  </si>
  <si>
    <t>DACIPK-0081</t>
  </si>
  <si>
    <t>Maaz Khan</t>
  </si>
  <si>
    <t>DACIPK-0020</t>
  </si>
  <si>
    <t>Maryam Asif</t>
  </si>
  <si>
    <t>DACIPK-0008</t>
  </si>
  <si>
    <t>Mashhood Ahmad Qureshi</t>
  </si>
  <si>
    <t>DACIPK-0009</t>
  </si>
  <si>
    <t>Mubashra Zareen</t>
  </si>
  <si>
    <t>DACIPK-0077</t>
  </si>
  <si>
    <t>Muhammad Abbas Malik</t>
  </si>
  <si>
    <t>DACIPK-0036</t>
  </si>
  <si>
    <t>Muhammad Ahmad Khan</t>
  </si>
  <si>
    <t>DACIPK-0039</t>
  </si>
  <si>
    <t>Muhammad Ali</t>
  </si>
  <si>
    <t>DACIPK-0047</t>
  </si>
  <si>
    <t>Muhammad Ammar Faruqi</t>
  </si>
  <si>
    <t>DACIPK-0060</t>
  </si>
  <si>
    <t>DACIPK-0028</t>
  </si>
  <si>
    <t>Muhammad Jibran Khan Jamil</t>
  </si>
  <si>
    <t>DACIPK-0068</t>
  </si>
  <si>
    <t>Muhammad Khuzaimah Saqib</t>
  </si>
  <si>
    <t>DACIPK-0073</t>
  </si>
  <si>
    <t>Muhammad Mudassir</t>
  </si>
  <si>
    <t>DACIPK-0055</t>
  </si>
  <si>
    <t>Muhammad Nauman Ejaz</t>
  </si>
  <si>
    <t>DACIPK-0031</t>
  </si>
  <si>
    <t>Muhammad salah u din satti</t>
  </si>
  <si>
    <t>DACIPK-0037</t>
  </si>
  <si>
    <t>Muhammad Shahid Ayub</t>
  </si>
  <si>
    <t>DACIPK-0080</t>
  </si>
  <si>
    <t>Muhammad Waleed</t>
  </si>
  <si>
    <t>DACIPK-0012</t>
  </si>
  <si>
    <t>Muhammad Waleed Wajdan Khan</t>
  </si>
  <si>
    <t>DACIPK-0064</t>
  </si>
  <si>
    <t>Nouman Khan</t>
  </si>
  <si>
    <t>DACIPK-0070</t>
  </si>
  <si>
    <t>Noveera Baloch</t>
  </si>
  <si>
    <t>DACIPK-0083</t>
  </si>
  <si>
    <t>Rayyan Akmal</t>
  </si>
  <si>
    <t>DACIPK-0078</t>
  </si>
  <si>
    <t>Rohail Sultan</t>
  </si>
  <si>
    <t>DACIPK-0045</t>
  </si>
  <si>
    <t>Saad Hamid</t>
  </si>
  <si>
    <t>DACIPK-0067</t>
  </si>
  <si>
    <t>Sadia Gul</t>
  </si>
  <si>
    <t>DACIPK-0076</t>
  </si>
  <si>
    <t>Sarah Rauf</t>
  </si>
  <si>
    <t>DACIPK-0021</t>
  </si>
  <si>
    <t>Shahab khan</t>
  </si>
  <si>
    <t>DACIPK-0054</t>
  </si>
  <si>
    <t>Shahmeen Mazhar</t>
  </si>
  <si>
    <t>DACIPK-0085</t>
  </si>
  <si>
    <t>Shayan Mumtaz</t>
  </si>
  <si>
    <t>DACIPK-0082</t>
  </si>
  <si>
    <t>Siyam Toufeeq</t>
  </si>
  <si>
    <t>DACIPK-0042</t>
  </si>
  <si>
    <t>Taha zia</t>
  </si>
  <si>
    <t>DACIPK-0075</t>
  </si>
  <si>
    <t>Umair Irfan</t>
  </si>
  <si>
    <t>DACIPK-0072</t>
  </si>
  <si>
    <t>Umar Ahmed</t>
  </si>
  <si>
    <t>DACIPK-0003</t>
  </si>
  <si>
    <t>Umer Naseer</t>
  </si>
  <si>
    <t>DACIPK-0074</t>
  </si>
  <si>
    <t>Uzair Shakil</t>
  </si>
  <si>
    <t>DACIPK-0002</t>
  </si>
  <si>
    <t>Waleed Kazmi</t>
  </si>
  <si>
    <t>DACIPK-0050</t>
  </si>
  <si>
    <t>Warda Mehmood</t>
  </si>
  <si>
    <t>DACIPK-0079</t>
  </si>
  <si>
    <t>Yasir Usman</t>
  </si>
  <si>
    <t>DACIPK-0006</t>
  </si>
  <si>
    <t>Yousaf Sardar Gill</t>
  </si>
  <si>
    <t>DACIPK-0004</t>
  </si>
  <si>
    <t>Zahra Javed</t>
  </si>
  <si>
    <t>DACIPK-0013</t>
  </si>
  <si>
    <t>Zain Ul Abideen</t>
  </si>
  <si>
    <t>DACIPK-0086</t>
  </si>
  <si>
    <t>Zainab Hussain</t>
  </si>
  <si>
    <t>DACIPK-0018</t>
  </si>
  <si>
    <t>Zunaira Bibi</t>
  </si>
  <si>
    <t>DACIPK-0088</t>
  </si>
  <si>
    <t>DACIPK-0089</t>
  </si>
  <si>
    <t>DACIPK-0090</t>
  </si>
  <si>
    <t>DACIPK-0091</t>
  </si>
  <si>
    <t>DACIPK-0092</t>
  </si>
  <si>
    <t>Muhammad Daniyal</t>
  </si>
  <si>
    <t>Naeem Jan</t>
  </si>
  <si>
    <t>Syeda Zaufyshan Shakeeb</t>
  </si>
  <si>
    <t>Muhammad Yahya Mazhar</t>
  </si>
  <si>
    <t>Faqir Hussain</t>
  </si>
  <si>
    <t>Anas Nisar</t>
  </si>
  <si>
    <t>Designation</t>
  </si>
  <si>
    <t>Director / Electrical Design Manager</t>
  </si>
  <si>
    <t>Deputy Director / Senior Electrical / Multi Utility Design Engineer</t>
  </si>
  <si>
    <t xml:space="preserve">Electrical Design Engineer / Team Lead </t>
  </si>
  <si>
    <t>Multi Utility Design Engineer / Team lead  </t>
  </si>
  <si>
    <t>Deputy Director / Senior Electrical Design Engineer</t>
  </si>
  <si>
    <t>Multi Utility Design Engineer/ Team lead  </t>
  </si>
  <si>
    <t>Multi Utility Design Engineer</t>
  </si>
  <si>
    <t>Electrical Design Engineer</t>
  </si>
  <si>
    <t>Senior CAD Engineer</t>
  </si>
  <si>
    <t>CAD Engineer</t>
  </si>
  <si>
    <t>Office Manager</t>
  </si>
  <si>
    <t>Graduate Design Engineer</t>
  </si>
  <si>
    <t>Marketing Asistant</t>
  </si>
  <si>
    <t>Project Coordinator</t>
  </si>
  <si>
    <t>CAD Technician</t>
  </si>
  <si>
    <t>Electrical Design Engineer/ Team Lead</t>
  </si>
  <si>
    <t>Civil Design Engineer</t>
  </si>
  <si>
    <t>Graduate Power System Engineer</t>
  </si>
  <si>
    <t>Lead Protection &amp; Control &amp; Secindary Design Engineer</t>
  </si>
  <si>
    <t>Junior Secondary Design Engineer</t>
  </si>
  <si>
    <t>Primary Design Engineer</t>
  </si>
  <si>
    <t>Design Technician</t>
  </si>
  <si>
    <t>Intern</t>
  </si>
  <si>
    <t>Design Engineer</t>
  </si>
  <si>
    <t>Assist Manager</t>
  </si>
  <si>
    <t>Secondery Design Engineer</t>
  </si>
  <si>
    <t>Junior Design Engineer</t>
  </si>
  <si>
    <t>Trainee Design Engineer</t>
  </si>
  <si>
    <t>Junior Electrical Design Engineer</t>
  </si>
  <si>
    <t>Structure Engineer</t>
  </si>
  <si>
    <t>Junior Cable Design Engineer</t>
  </si>
  <si>
    <t>Power Systems Intern</t>
  </si>
  <si>
    <t>Taxable Salary</t>
  </si>
  <si>
    <t>Over-time</t>
  </si>
  <si>
    <t>Basic Salary</t>
  </si>
  <si>
    <t>Medical Allowance</t>
  </si>
  <si>
    <t>Total Salary</t>
  </si>
  <si>
    <t>Income Tax</t>
  </si>
  <si>
    <t>Net Salary</t>
  </si>
  <si>
    <t>Saving Fund</t>
  </si>
  <si>
    <t>Number of 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</si>
</sst>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"/>
    <numFmt numFmtId="166" formatCode="_(* #,##0_);_(* \(#,##0\);_(* &quot;-&quot;??_);_(@_)"/>
    <numFmt numFmtId="167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B6656"/>
        <bgColor rgb="FF1B665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2DBD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2DBDB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4">
    <xf numFmtId="0" fontId="0" fillId="0" borderId="0" xfId="0"/>
    <xf numFmtId="0" fontId="6" fillId="2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left" vertical="center"/>
    </xf>
    <xf numFmtId="165" fontId="7" fillId="0" borderId="6" xfId="0" applyNumberFormat="1" applyFont="1" applyBorder="1" applyAlignment="1">
      <alignment vertical="center"/>
    </xf>
    <xf numFmtId="167" fontId="7" fillId="5" borderId="10" xfId="1" applyNumberFormat="1" applyFont="1" applyFill="1" applyBorder="1" applyAlignment="1">
      <alignment vertical="center"/>
    </xf>
    <xf numFmtId="166" fontId="7" fillId="5" borderId="9" xfId="2" applyNumberFormat="1" applyFont="1" applyFill="1" applyBorder="1" applyAlignment="1">
      <alignment vertical="center"/>
    </xf>
    <xf numFmtId="167" fontId="2" fillId="0" borderId="1" xfId="1" applyNumberFormat="1" applyFont="1" applyBorder="1"/>
    <xf numFmtId="167" fontId="2" fillId="0" borderId="1" xfId="0" applyNumberFormat="1" applyFont="1" applyBorder="1"/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 wrapText="1"/>
    </xf>
    <xf numFmtId="165" fontId="7" fillId="0" borderId="7" xfId="0" applyNumberFormat="1" applyFont="1" applyBorder="1" applyAlignment="1">
      <alignment vertical="center"/>
    </xf>
    <xf numFmtId="167" fontId="7" fillId="5" borderId="7" xfId="1" applyNumberFormat="1" applyFont="1" applyFill="1" applyBorder="1" applyAlignment="1">
      <alignment vertical="center"/>
    </xf>
    <xf numFmtId="166" fontId="7" fillId="5" borderId="4" xfId="2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166" fontId="7" fillId="0" borderId="4" xfId="2" applyNumberFormat="1" applyFont="1" applyFill="1" applyBorder="1" applyAlignment="1">
      <alignment vertical="center"/>
    </xf>
    <xf numFmtId="0" fontId="8" fillId="0" borderId="1" xfId="0" applyFont="1" applyBorder="1"/>
    <xf numFmtId="165" fontId="7" fillId="4" borderId="7" xfId="0" applyNumberFormat="1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8" fillId="6" borderId="1" xfId="0" applyFont="1" applyFill="1" applyBorder="1"/>
    <xf numFmtId="165" fontId="7" fillId="7" borderId="7" xfId="0" applyNumberFormat="1" applyFont="1" applyFill="1" applyBorder="1" applyAlignment="1">
      <alignment vertical="center"/>
    </xf>
    <xf numFmtId="167" fontId="7" fillId="8" borderId="7" xfId="1" applyNumberFormat="1" applyFont="1" applyFill="1" applyBorder="1" applyAlignment="1">
      <alignment vertical="center"/>
    </xf>
    <xf numFmtId="166" fontId="7" fillId="8" borderId="4" xfId="2" applyNumberFormat="1" applyFont="1" applyFill="1" applyBorder="1" applyAlignment="1">
      <alignment vertical="center"/>
    </xf>
    <xf numFmtId="167" fontId="2" fillId="6" borderId="1" xfId="1" applyNumberFormat="1" applyFont="1" applyFill="1" applyBorder="1"/>
    <xf numFmtId="167" fontId="2" fillId="6" borderId="1" xfId="0" applyNumberFormat="1" applyFont="1" applyFill="1" applyBorder="1"/>
    <xf numFmtId="0" fontId="0" fillId="6" borderId="0" xfId="0" applyFill="1"/>
    <xf numFmtId="167" fontId="2" fillId="6" borderId="0" xfId="1" applyNumberFormat="1" applyFont="1" applyFill="1"/>
    <xf numFmtId="0" fontId="7" fillId="6" borderId="3" xfId="0" applyFont="1" applyFill="1" applyBorder="1" applyAlignment="1">
      <alignment vertical="center"/>
    </xf>
    <xf numFmtId="0" fontId="8" fillId="6" borderId="3" xfId="0" applyFont="1" applyFill="1" applyBorder="1"/>
    <xf numFmtId="165" fontId="7" fillId="7" borderId="8" xfId="0" applyNumberFormat="1" applyFont="1" applyFill="1" applyBorder="1" applyAlignment="1">
      <alignment vertical="center"/>
    </xf>
    <xf numFmtId="167" fontId="7" fillId="8" borderId="8" xfId="1" applyNumberFormat="1" applyFont="1" applyFill="1" applyBorder="1" applyAlignment="1">
      <alignment vertical="center"/>
    </xf>
    <xf numFmtId="166" fontId="7" fillId="8" borderId="5" xfId="2" applyNumberFormat="1" applyFont="1" applyFill="1" applyBorder="1" applyAlignment="1">
      <alignment vertical="center"/>
    </xf>
  </cellXfs>
  <cellStyles count="3">
    <cellStyle name="Comma" xfId="1" builtinId="3"/>
    <cellStyle name="Comma 2" xfId="2" xr:uid="{D9AD9D5D-CC62-4A25-9DF8-434C8544992C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T/Downloads/Employee%20Saving%20Plan%20Record%20till%20July-26%20-%20DACI%20Engineering%20Services.xlsx" TargetMode="External"/><Relationship Id="rId2" Type="http://schemas.openxmlformats.org/officeDocument/2006/relationships/externalLinkPath" Target="file:///C:\Users\IT\Downloads\Employee%20Saving%20Plan%20Record%20till%20July-26%20-%20DACI%20Engineering%20Services.xlsx" TargetMode="External"/><Relationship Id="rId1" Type="http://schemas.openxmlformats.org/officeDocument/2006/relationships/externalLinkPath" Target="/Users/IT/Downloads/Employee%20Saving%20Plan%20Record%20till%20July-26%20-%20DACI%20Engineering%20Serv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SP-26"/>
      <sheetName val="BS-26"/>
      <sheetName val="2026"/>
      <sheetName val="SP-25"/>
      <sheetName val="BS-25"/>
      <sheetName val="2025"/>
      <sheetName val="SP-24"/>
      <sheetName val="BS-24"/>
      <sheetName val="2024"/>
    </sheetNames>
    <sheetDataSet>
      <sheetData sheetId="0">
        <row r="3">
          <cell r="A3" t="str">
            <v>DACIPK-0001</v>
          </cell>
          <cell r="B3" t="str">
            <v>Foaad Ahmad</v>
          </cell>
          <cell r="C3">
            <v>45293</v>
          </cell>
          <cell r="E3">
            <v>123658.1836</v>
          </cell>
          <cell r="F3">
            <v>205200</v>
          </cell>
          <cell r="G3">
            <v>205200</v>
          </cell>
          <cell r="I3">
            <v>534058.18359999999</v>
          </cell>
        </row>
        <row r="4">
          <cell r="A4" t="str">
            <v>DACIPK-0002</v>
          </cell>
          <cell r="B4" t="str">
            <v>Waleed Kazmi</v>
          </cell>
          <cell r="C4">
            <v>45293</v>
          </cell>
          <cell r="E4">
            <v>111670.91070000001</v>
          </cell>
          <cell r="F4">
            <v>184680</v>
          </cell>
          <cell r="G4">
            <v>107730</v>
          </cell>
          <cell r="I4">
            <v>404080.91070000001</v>
          </cell>
        </row>
        <row r="5">
          <cell r="A5" t="str">
            <v>DACIPK-0003</v>
          </cell>
          <cell r="B5" t="str">
            <v>Umer Naseer</v>
          </cell>
          <cell r="C5">
            <v>45293</v>
          </cell>
          <cell r="E5">
            <v>106526.4778986</v>
          </cell>
          <cell r="F5">
            <v>180733.68000000005</v>
          </cell>
          <cell r="G5">
            <v>175873.68000000005</v>
          </cell>
          <cell r="I5">
            <v>463133.83789860009</v>
          </cell>
        </row>
        <row r="6">
          <cell r="A6" t="str">
            <v>DACIPK-0004</v>
          </cell>
          <cell r="B6" t="str">
            <v>Zahra Javed</v>
          </cell>
          <cell r="C6">
            <v>45293</v>
          </cell>
          <cell r="E6">
            <v>73011.955597499997</v>
          </cell>
          <cell r="F6">
            <v>123363</v>
          </cell>
          <cell r="G6">
            <v>118503</v>
          </cell>
          <cell r="I6">
            <v>314877.95559749997</v>
          </cell>
        </row>
        <row r="7">
          <cell r="A7" t="str">
            <v>DACIPK-0005</v>
          </cell>
          <cell r="B7" t="str">
            <v>Furqan Ahmed Chishti</v>
          </cell>
          <cell r="C7">
            <v>45293</v>
          </cell>
          <cell r="E7">
            <v>111670.91070000001</v>
          </cell>
          <cell r="F7">
            <v>189540</v>
          </cell>
          <cell r="G7">
            <v>184680</v>
          </cell>
          <cell r="I7">
            <v>485890.91070000001</v>
          </cell>
        </row>
        <row r="8">
          <cell r="A8" t="str">
            <v>DACIPK-0006</v>
          </cell>
          <cell r="B8" t="str">
            <v>Yousaf Sardar Gill</v>
          </cell>
          <cell r="C8">
            <v>45293</v>
          </cell>
          <cell r="E8">
            <v>73711.318334850002</v>
          </cell>
          <cell r="F8">
            <v>124560.18000000001</v>
          </cell>
          <cell r="G8">
            <v>119700.18000000001</v>
          </cell>
          <cell r="I8">
            <v>317971.67833485</v>
          </cell>
        </row>
        <row r="9">
          <cell r="A9" t="str">
            <v>DACIPK-0007</v>
          </cell>
          <cell r="B9" t="str">
            <v>Muhammad Khalil</v>
          </cell>
          <cell r="C9">
            <v>45293</v>
          </cell>
          <cell r="E9">
            <v>0</v>
          </cell>
          <cell r="F9">
            <v>103072.5</v>
          </cell>
          <cell r="G9">
            <v>107730</v>
          </cell>
          <cell r="I9">
            <v>210802.5</v>
          </cell>
        </row>
        <row r="10">
          <cell r="A10" t="str">
            <v>DACIPK-0008</v>
          </cell>
          <cell r="B10" t="str">
            <v>Mashhood Ahmad Qureshi</v>
          </cell>
          <cell r="C10">
            <v>45293</v>
          </cell>
          <cell r="E10">
            <v>51734.546199999997</v>
          </cell>
          <cell r="F10">
            <v>86940</v>
          </cell>
          <cell r="G10">
            <v>82080</v>
          </cell>
          <cell r="I10">
            <v>220754.54619999998</v>
          </cell>
        </row>
        <row r="11">
          <cell r="A11" t="str">
            <v>DACIPK-0009</v>
          </cell>
          <cell r="B11" t="str">
            <v>Mubashra Zareen</v>
          </cell>
          <cell r="C11">
            <v>45293</v>
          </cell>
          <cell r="E11">
            <v>82312.502095150005</v>
          </cell>
          <cell r="F11">
            <v>129060</v>
          </cell>
          <cell r="G11">
            <v>82080</v>
          </cell>
          <cell r="I11">
            <v>293452.50209515</v>
          </cell>
        </row>
        <row r="12">
          <cell r="A12" t="str">
            <v>DACIPK-0010</v>
          </cell>
          <cell r="B12" t="str">
            <v>Muhammad Musa Ahmad</v>
          </cell>
          <cell r="C12">
            <v>45293</v>
          </cell>
          <cell r="E12">
            <v>0</v>
          </cell>
          <cell r="F12">
            <v>49702.68</v>
          </cell>
          <cell r="G12">
            <v>82080</v>
          </cell>
          <cell r="I12">
            <v>131782.68</v>
          </cell>
        </row>
        <row r="13">
          <cell r="A13" t="str">
            <v>DACIPK-0011</v>
          </cell>
          <cell r="B13" t="str">
            <v>Abdullah Saad</v>
          </cell>
          <cell r="C13">
            <v>45293</v>
          </cell>
          <cell r="E13">
            <v>76340.001099999994</v>
          </cell>
          <cell r="F13">
            <v>129060</v>
          </cell>
          <cell r="G13">
            <v>82080</v>
          </cell>
          <cell r="I13">
            <v>287480.00109999999</v>
          </cell>
        </row>
        <row r="14">
          <cell r="A14" t="str">
            <v>DACIPK-0012</v>
          </cell>
          <cell r="B14" t="str">
            <v>Muhammad Waleed Wajdan Khan</v>
          </cell>
          <cell r="C14">
            <v>45293</v>
          </cell>
          <cell r="E14">
            <v>66718.637325000003</v>
          </cell>
          <cell r="F14">
            <v>112590</v>
          </cell>
          <cell r="G14">
            <v>107730</v>
          </cell>
          <cell r="I14">
            <v>287038.63732500002</v>
          </cell>
        </row>
        <row r="15">
          <cell r="A15" t="str">
            <v>DACIPK-0013</v>
          </cell>
          <cell r="B15" t="str">
            <v>Zain Ul Abideen</v>
          </cell>
          <cell r="C15">
            <v>45293</v>
          </cell>
          <cell r="E15">
            <v>110409.0925</v>
          </cell>
          <cell r="F15">
            <v>105923.88000000005</v>
          </cell>
          <cell r="G15">
            <v>56109.24000000002</v>
          </cell>
          <cell r="I15">
            <v>272442.21250000002</v>
          </cell>
        </row>
        <row r="16">
          <cell r="A16" t="str">
            <v>DACIPK-0014</v>
          </cell>
          <cell r="B16" t="str">
            <v>Shoaib Akhtar</v>
          </cell>
          <cell r="C16">
            <v>45293</v>
          </cell>
          <cell r="E16">
            <v>0</v>
          </cell>
          <cell r="F16">
            <v>211543.33499999996</v>
          </cell>
          <cell r="G16">
            <v>226061.81999999995</v>
          </cell>
          <cell r="I16">
            <v>437605.15499999991</v>
          </cell>
        </row>
        <row r="17">
          <cell r="A17" t="str">
            <v>DACIPK-0015</v>
          </cell>
          <cell r="B17" t="str">
            <v>Muhammad Furqan Ashraf</v>
          </cell>
          <cell r="C17">
            <v>45384</v>
          </cell>
          <cell r="E17">
            <v>18493.650000000001</v>
          </cell>
          <cell r="F17">
            <v>87399</v>
          </cell>
          <cell r="G17">
            <v>10260</v>
          </cell>
          <cell r="I17">
            <v>116152.65</v>
          </cell>
        </row>
        <row r="18">
          <cell r="A18" t="str">
            <v>DACIPK-0016</v>
          </cell>
          <cell r="B18" t="str">
            <v>Ali Atif</v>
          </cell>
          <cell r="C18">
            <v>45413</v>
          </cell>
          <cell r="E18">
            <v>38509.114191250002</v>
          </cell>
          <cell r="F18">
            <v>46693.440000000002</v>
          </cell>
          <cell r="G18">
            <v>4950</v>
          </cell>
          <cell r="I18">
            <v>90152.554191250005</v>
          </cell>
        </row>
        <row r="19">
          <cell r="A19" t="str">
            <v>DACIPK-0017</v>
          </cell>
          <cell r="B19" t="str">
            <v>Najeeb ullah - Terminated 16th July</v>
          </cell>
          <cell r="C19">
            <v>45446</v>
          </cell>
          <cell r="E19">
            <v>0</v>
          </cell>
          <cell r="F19">
            <v>24831.81</v>
          </cell>
          <cell r="G19">
            <v>0</v>
          </cell>
          <cell r="I19">
            <v>24831.81</v>
          </cell>
        </row>
        <row r="20">
          <cell r="A20" t="str">
            <v>DACIPK-0018</v>
          </cell>
          <cell r="B20" t="str">
            <v>Zunaira Bibi</v>
          </cell>
          <cell r="C20">
            <v>45446</v>
          </cell>
          <cell r="E20">
            <v>51964.844494500001</v>
          </cell>
          <cell r="F20">
            <v>70665.48</v>
          </cell>
          <cell r="G20">
            <v>3600</v>
          </cell>
          <cell r="I20">
            <v>126230.3244945</v>
          </cell>
        </row>
        <row r="21">
          <cell r="A21" t="str">
            <v>DACIPK-0019</v>
          </cell>
          <cell r="B21" t="str">
            <v>Mohsin Mehmood-Expire</v>
          </cell>
          <cell r="C21">
            <v>45446</v>
          </cell>
          <cell r="E21">
            <v>0</v>
          </cell>
          <cell r="F21">
            <v>0</v>
          </cell>
          <cell r="G21">
            <v>2475</v>
          </cell>
          <cell r="I21">
            <v>2475</v>
          </cell>
        </row>
        <row r="22">
          <cell r="A22" t="str">
            <v>DACIPK-0020</v>
          </cell>
          <cell r="B22" t="str">
            <v>Maryam Asif</v>
          </cell>
          <cell r="C22">
            <v>45523</v>
          </cell>
          <cell r="E22">
            <v>64821.178206749995</v>
          </cell>
          <cell r="F22">
            <v>55260</v>
          </cell>
          <cell r="G22">
            <v>0</v>
          </cell>
          <cell r="I22">
            <v>120081.17820674999</v>
          </cell>
        </row>
        <row r="23">
          <cell r="A23" t="str">
            <v>DACIPK-0021</v>
          </cell>
          <cell r="B23" t="str">
            <v>Shahab Khan</v>
          </cell>
          <cell r="C23">
            <v>45536</v>
          </cell>
          <cell r="E23">
            <v>78863.637499999997</v>
          </cell>
          <cell r="F23">
            <v>63360</v>
          </cell>
          <cell r="G23">
            <v>0</v>
          </cell>
          <cell r="I23">
            <v>142223.63750000001</v>
          </cell>
        </row>
        <row r="24">
          <cell r="A24" t="str">
            <v>DACIPK-0022</v>
          </cell>
          <cell r="B24" t="str">
            <v>Arslan Ahmed</v>
          </cell>
          <cell r="C24">
            <v>45551</v>
          </cell>
          <cell r="E24">
            <v>94636.365000000005</v>
          </cell>
          <cell r="F24">
            <v>57060</v>
          </cell>
          <cell r="G24">
            <v>0</v>
          </cell>
          <cell r="I24">
            <v>151696.36499999999</v>
          </cell>
        </row>
        <row r="25">
          <cell r="A25" t="str">
            <v>DACIPK-0023</v>
          </cell>
          <cell r="B25" t="str">
            <v>Umar Hanif</v>
          </cell>
          <cell r="C25">
            <v>45551</v>
          </cell>
          <cell r="E25">
            <v>0</v>
          </cell>
          <cell r="F25">
            <v>25200</v>
          </cell>
          <cell r="G25">
            <v>0</v>
          </cell>
          <cell r="I25">
            <v>25200</v>
          </cell>
        </row>
        <row r="26">
          <cell r="A26" t="str">
            <v>DACIPK-0024</v>
          </cell>
          <cell r="B26" t="str">
            <v>Asad Tariq</v>
          </cell>
          <cell r="C26">
            <v>45579</v>
          </cell>
          <cell r="E26">
            <v>0</v>
          </cell>
          <cell r="F26">
            <v>63450</v>
          </cell>
          <cell r="G26">
            <v>0</v>
          </cell>
          <cell r="I26">
            <v>63450</v>
          </cell>
        </row>
        <row r="27">
          <cell r="A27" t="str">
            <v>DACIPK-0025</v>
          </cell>
          <cell r="B27" t="str">
            <v>Haseeb Ahmad</v>
          </cell>
          <cell r="C27">
            <v>45579</v>
          </cell>
          <cell r="E27">
            <v>64821.178206749995</v>
          </cell>
          <cell r="F27">
            <v>45720</v>
          </cell>
          <cell r="G27">
            <v>0</v>
          </cell>
          <cell r="I27">
            <v>110541.17820674999</v>
          </cell>
        </row>
        <row r="28">
          <cell r="A28" t="str">
            <v>DACIPK-0026</v>
          </cell>
          <cell r="B28" t="str">
            <v xml:space="preserve">Muhammad Awais </v>
          </cell>
          <cell r="C28">
            <v>45579</v>
          </cell>
          <cell r="E28">
            <v>0</v>
          </cell>
          <cell r="F28">
            <v>15120</v>
          </cell>
          <cell r="G28">
            <v>0</v>
          </cell>
          <cell r="I28">
            <v>15120</v>
          </cell>
        </row>
        <row r="29">
          <cell r="A29" t="str">
            <v>DACIPK-0027</v>
          </cell>
          <cell r="B29" t="str">
            <v>Muhammad Talha</v>
          </cell>
          <cell r="C29">
            <v>45579</v>
          </cell>
          <cell r="E29">
            <v>0</v>
          </cell>
          <cell r="F29">
            <v>15120</v>
          </cell>
          <cell r="G29">
            <v>0</v>
          </cell>
          <cell r="I29">
            <v>15120</v>
          </cell>
        </row>
        <row r="30">
          <cell r="A30" t="str">
            <v>DACIPK-0028</v>
          </cell>
          <cell r="B30" t="str">
            <v>Muhammad Jibran Khan Jamil</v>
          </cell>
          <cell r="C30">
            <v>45579</v>
          </cell>
          <cell r="E30">
            <v>64821.178206749995</v>
          </cell>
          <cell r="F30">
            <v>40320</v>
          </cell>
          <cell r="G30">
            <v>0</v>
          </cell>
          <cell r="I30">
            <v>105141.17820674999</v>
          </cell>
        </row>
        <row r="31">
          <cell r="A31" t="str">
            <v>DACIPK-0029</v>
          </cell>
          <cell r="B31" t="str">
            <v>Nayyera Naeem</v>
          </cell>
          <cell r="C31">
            <v>45600</v>
          </cell>
          <cell r="E31">
            <v>27740.475000000002</v>
          </cell>
          <cell r="F31">
            <v>40320</v>
          </cell>
          <cell r="G31">
            <v>0</v>
          </cell>
          <cell r="I31">
            <v>68060.475000000006</v>
          </cell>
        </row>
        <row r="32">
          <cell r="A32" t="str">
            <v>DACIPK-0030</v>
          </cell>
          <cell r="B32" t="str">
            <v>Raanisa Mahbub Expire</v>
          </cell>
          <cell r="C32">
            <v>45600</v>
          </cell>
          <cell r="E32">
            <v>0</v>
          </cell>
          <cell r="F32">
            <v>0</v>
          </cell>
          <cell r="G32">
            <v>0</v>
          </cell>
          <cell r="I32">
            <v>0</v>
          </cell>
        </row>
        <row r="33">
          <cell r="A33" t="str">
            <v>DACIPK-0031</v>
          </cell>
          <cell r="B33" t="str">
            <v>Muhammad Salah Ud Din Satti</v>
          </cell>
          <cell r="C33">
            <v>45600</v>
          </cell>
          <cell r="E33">
            <v>64821.178206749995</v>
          </cell>
          <cell r="F33">
            <v>40320</v>
          </cell>
          <cell r="G33">
            <v>0</v>
          </cell>
          <cell r="I33">
            <v>105141.17820674999</v>
          </cell>
        </row>
        <row r="34">
          <cell r="A34" t="str">
            <v>DACIPK-0032</v>
          </cell>
          <cell r="B34" t="str">
            <v>Abdul Mohamin Hashmi</v>
          </cell>
          <cell r="C34">
            <v>45600</v>
          </cell>
          <cell r="E34">
            <v>27740.475000000002</v>
          </cell>
          <cell r="F34">
            <v>40320</v>
          </cell>
          <cell r="G34">
            <v>0</v>
          </cell>
          <cell r="I34">
            <v>68060.475000000006</v>
          </cell>
        </row>
        <row r="35">
          <cell r="A35" t="str">
            <v>DACIPK-0033</v>
          </cell>
          <cell r="B35" t="str">
            <v>Atif Zahoor</v>
          </cell>
          <cell r="C35">
            <v>45670</v>
          </cell>
          <cell r="E35">
            <v>78863.637499999997</v>
          </cell>
          <cell r="F35">
            <v>32040</v>
          </cell>
          <cell r="G35">
            <v>0</v>
          </cell>
          <cell r="I35">
            <v>110903.6375</v>
          </cell>
        </row>
        <row r="36">
          <cell r="A36" t="str">
            <v>DACIPK-0034</v>
          </cell>
          <cell r="B36" t="str">
            <v>Usama Bin Tahir Expire</v>
          </cell>
          <cell r="C36">
            <v>45672</v>
          </cell>
          <cell r="E36">
            <v>0</v>
          </cell>
          <cell r="F36">
            <v>0</v>
          </cell>
          <cell r="G36">
            <v>1758922.92</v>
          </cell>
          <cell r="I36">
            <v>1758922.92</v>
          </cell>
        </row>
        <row r="37">
          <cell r="A37" t="str">
            <v>DACIPK-0035</v>
          </cell>
          <cell r="B37" t="str">
            <v xml:space="preserve">Fawad Waheed </v>
          </cell>
          <cell r="C37">
            <v>45726</v>
          </cell>
          <cell r="E37">
            <v>64821.178206749995</v>
          </cell>
          <cell r="F37">
            <v>29700</v>
          </cell>
          <cell r="G37">
            <v>0</v>
          </cell>
          <cell r="I37">
            <v>94521.178206749988</v>
          </cell>
        </row>
        <row r="38">
          <cell r="A38" t="str">
            <v>DACIPK-0036</v>
          </cell>
          <cell r="B38" t="str">
            <v>Muhammad Ahmad Khan</v>
          </cell>
          <cell r="C38">
            <v>45726</v>
          </cell>
          <cell r="E38">
            <v>70977.273749999993</v>
          </cell>
          <cell r="F38">
            <v>29160</v>
          </cell>
          <cell r="G38">
            <v>0</v>
          </cell>
          <cell r="I38">
            <v>100137.27374999999</v>
          </cell>
        </row>
        <row r="39">
          <cell r="A39" t="str">
            <v>DACIPK-0037</v>
          </cell>
          <cell r="B39" t="str">
            <v>Shahid Ayub Ayub</v>
          </cell>
          <cell r="C39">
            <v>45754</v>
          </cell>
          <cell r="E39">
            <v>52277.273500000003</v>
          </cell>
          <cell r="F39">
            <v>17280</v>
          </cell>
          <cell r="G39">
            <v>0</v>
          </cell>
          <cell r="I39">
            <v>69557.27350000001</v>
          </cell>
        </row>
        <row r="40">
          <cell r="A40" t="str">
            <v>DACIPK-0038</v>
          </cell>
          <cell r="B40" t="str">
            <v xml:space="preserve">Izza Hashmi  </v>
          </cell>
          <cell r="C40">
            <v>45778</v>
          </cell>
          <cell r="E40">
            <v>69400.001000000004</v>
          </cell>
          <cell r="F40">
            <v>18000</v>
          </cell>
          <cell r="G40">
            <v>0</v>
          </cell>
          <cell r="I40">
            <v>87400.001000000004</v>
          </cell>
        </row>
        <row r="41">
          <cell r="A41" t="str">
            <v>DACIPK-0039</v>
          </cell>
          <cell r="B41" t="str">
            <v xml:space="preserve">Muhammad Ali </v>
          </cell>
          <cell r="C41">
            <v>45811</v>
          </cell>
          <cell r="E41">
            <v>38509.114191250002</v>
          </cell>
          <cell r="F41">
            <v>3420</v>
          </cell>
          <cell r="G41">
            <v>0</v>
          </cell>
          <cell r="I41">
            <v>41929.114191250002</v>
          </cell>
        </row>
        <row r="42">
          <cell r="A42" t="str">
            <v>DACIPK-0040</v>
          </cell>
          <cell r="B42" t="str">
            <v xml:space="preserve">Hamza Amjad Abbasi </v>
          </cell>
          <cell r="C42">
            <v>45811</v>
          </cell>
          <cell r="E42">
            <v>47318.182500000003</v>
          </cell>
          <cell r="F42">
            <v>3420</v>
          </cell>
          <cell r="G42">
            <v>0</v>
          </cell>
          <cell r="I42">
            <v>50738.182500000003</v>
          </cell>
        </row>
        <row r="43">
          <cell r="A43" t="str">
            <v>DACIPK-0041</v>
          </cell>
          <cell r="B43" t="str">
            <v xml:space="preserve">Kashif Ullah </v>
          </cell>
          <cell r="C43">
            <v>45824</v>
          </cell>
          <cell r="E43">
            <v>53186.364500000003</v>
          </cell>
          <cell r="F43">
            <v>0</v>
          </cell>
          <cell r="G43">
            <v>0</v>
          </cell>
          <cell r="I43">
            <v>53186.364500000003</v>
          </cell>
        </row>
        <row r="44">
          <cell r="A44" t="str">
            <v>DACIPK-0042</v>
          </cell>
          <cell r="B44" t="str">
            <v xml:space="preserve">Taha Zia </v>
          </cell>
          <cell r="C44">
            <v>45824</v>
          </cell>
          <cell r="E44">
            <v>94636.365000000005</v>
          </cell>
          <cell r="F44">
            <v>0</v>
          </cell>
          <cell r="G44">
            <v>0</v>
          </cell>
          <cell r="I44">
            <v>94636.365000000005</v>
          </cell>
        </row>
        <row r="45">
          <cell r="A45" t="str">
            <v>DACIPK-0043</v>
          </cell>
          <cell r="B45" t="str">
            <v xml:space="preserve">Israr Ali Jatoi </v>
          </cell>
          <cell r="C45">
            <v>45826</v>
          </cell>
          <cell r="E45">
            <v>0</v>
          </cell>
          <cell r="F45">
            <v>0</v>
          </cell>
          <cell r="G45">
            <v>0</v>
          </cell>
          <cell r="I45">
            <v>0</v>
          </cell>
        </row>
        <row r="46">
          <cell r="A46" t="str">
            <v>DACIPK-0044</v>
          </cell>
          <cell r="B46" t="str">
            <v xml:space="preserve">Karim Ullah </v>
          </cell>
          <cell r="C46">
            <v>45839</v>
          </cell>
          <cell r="E46">
            <v>78863.637499999997</v>
          </cell>
          <cell r="F46">
            <v>0</v>
          </cell>
          <cell r="G46">
            <v>0</v>
          </cell>
          <cell r="I46">
            <v>78863.637499999997</v>
          </cell>
        </row>
        <row r="47">
          <cell r="A47" t="str">
            <v>DACIPK-0045</v>
          </cell>
          <cell r="B47" t="str">
            <v>Saad Hamid</v>
          </cell>
          <cell r="C47">
            <v>45894</v>
          </cell>
          <cell r="E47">
            <v>27522.364191249999</v>
          </cell>
          <cell r="F47">
            <v>0</v>
          </cell>
          <cell r="G47">
            <v>0</v>
          </cell>
          <cell r="I47">
            <v>27522.364191249999</v>
          </cell>
        </row>
        <row r="48">
          <cell r="A48" t="str">
            <v>DACIPK-0046</v>
          </cell>
          <cell r="B48" t="str">
            <v>Junaid Ahmed</v>
          </cell>
          <cell r="C48">
            <v>45901</v>
          </cell>
          <cell r="E48">
            <v>0</v>
          </cell>
          <cell r="F48">
            <v>0</v>
          </cell>
          <cell r="G48">
            <v>0</v>
          </cell>
          <cell r="I48">
            <v>0</v>
          </cell>
        </row>
        <row r="49">
          <cell r="A49" t="str">
            <v>DACIPK-0047</v>
          </cell>
          <cell r="B49" t="str">
            <v>Muhammad Ammar Faruqi</v>
          </cell>
          <cell r="C49">
            <v>45943</v>
          </cell>
          <cell r="E49">
            <v>0</v>
          </cell>
          <cell r="F49">
            <v>0</v>
          </cell>
          <cell r="G49">
            <v>0</v>
          </cell>
          <cell r="I49">
            <v>0</v>
          </cell>
        </row>
        <row r="50">
          <cell r="A50" t="str">
            <v>DACIPK-0048</v>
          </cell>
          <cell r="B50" t="str">
            <v>Bahar Khan</v>
          </cell>
          <cell r="C50">
            <v>45950</v>
          </cell>
          <cell r="E50">
            <v>33018.443736750007</v>
          </cell>
          <cell r="F50">
            <v>0</v>
          </cell>
          <cell r="G50">
            <v>0</v>
          </cell>
          <cell r="I50">
            <v>33018.443736750007</v>
          </cell>
        </row>
        <row r="51">
          <cell r="A51" t="str">
            <v>DACIPK-0049</v>
          </cell>
          <cell r="B51" t="str">
            <v>Huzaifa Bilal</v>
          </cell>
          <cell r="C51">
            <v>45950</v>
          </cell>
          <cell r="E51">
            <v>33018.443736750007</v>
          </cell>
          <cell r="F51">
            <v>0</v>
          </cell>
          <cell r="G51">
            <v>0</v>
          </cell>
          <cell r="I51">
            <v>33018.443736750007</v>
          </cell>
        </row>
        <row r="52">
          <cell r="A52" t="str">
            <v>DACIPK-0050</v>
          </cell>
          <cell r="B52" t="str">
            <v>Wardah Mehmood</v>
          </cell>
          <cell r="C52">
            <v>45950</v>
          </cell>
          <cell r="E52">
            <v>33018.443736750007</v>
          </cell>
          <cell r="F52">
            <v>0</v>
          </cell>
          <cell r="G52">
            <v>0</v>
          </cell>
          <cell r="I52">
            <v>33018.443736750007</v>
          </cell>
        </row>
        <row r="53">
          <cell r="A53" t="str">
            <v>DACIPK-0051</v>
          </cell>
          <cell r="B53" t="str">
            <v>Abid Ullah</v>
          </cell>
          <cell r="C53">
            <v>45950</v>
          </cell>
          <cell r="E53">
            <v>33018.443736750007</v>
          </cell>
          <cell r="F53">
            <v>0</v>
          </cell>
          <cell r="G53">
            <v>0</v>
          </cell>
          <cell r="I53">
            <v>33018.443736750007</v>
          </cell>
        </row>
        <row r="54">
          <cell r="A54" t="str">
            <v>DACIPK-0052</v>
          </cell>
          <cell r="B54" t="str">
            <v>Naveed Azaam - 16.01.2026</v>
          </cell>
          <cell r="C54">
            <v>45950</v>
          </cell>
          <cell r="E54">
            <v>0</v>
          </cell>
          <cell r="F54">
            <v>0</v>
          </cell>
          <cell r="G54">
            <v>0</v>
          </cell>
          <cell r="I54">
            <v>0</v>
          </cell>
        </row>
        <row r="55">
          <cell r="A55" t="str">
            <v>DACIPK-0053</v>
          </cell>
          <cell r="B55" t="str">
            <v xml:space="preserve">Kaleem Ullah </v>
          </cell>
          <cell r="C55">
            <v>45985</v>
          </cell>
          <cell r="E55">
            <v>13960.155000000001</v>
          </cell>
          <cell r="F55">
            <v>0</v>
          </cell>
          <cell r="G55">
            <v>0</v>
          </cell>
          <cell r="I55">
            <v>13960.155000000001</v>
          </cell>
        </row>
        <row r="56">
          <cell r="A56" t="str">
            <v>DACIPK-0054</v>
          </cell>
          <cell r="B56" t="str">
            <v>Shameen Mazhar</v>
          </cell>
          <cell r="C56">
            <v>46006</v>
          </cell>
          <cell r="E56">
            <v>24592.56419125</v>
          </cell>
          <cell r="F56">
            <v>0</v>
          </cell>
          <cell r="G56">
            <v>0</v>
          </cell>
          <cell r="I56">
            <v>24592.56419125</v>
          </cell>
        </row>
        <row r="57">
          <cell r="A57" t="str">
            <v>DACIPK-0055</v>
          </cell>
          <cell r="B57" t="str">
            <v>Muhammad Nouman Ijaz - KHI</v>
          </cell>
          <cell r="C57">
            <v>46027</v>
          </cell>
          <cell r="E57">
            <v>6818.1824999999999</v>
          </cell>
          <cell r="F57">
            <v>0</v>
          </cell>
          <cell r="G57">
            <v>0</v>
          </cell>
          <cell r="I57">
            <v>6818.1824999999999</v>
          </cell>
        </row>
        <row r="58">
          <cell r="A58" t="str">
            <v>DACIPK-0056</v>
          </cell>
          <cell r="B58" t="str">
            <v>Muhammad Talha Nadeem</v>
          </cell>
          <cell r="C58">
            <v>46027</v>
          </cell>
          <cell r="E58">
            <v>0</v>
          </cell>
          <cell r="F58">
            <v>0</v>
          </cell>
          <cell r="G58">
            <v>0</v>
          </cell>
          <cell r="I58">
            <v>0</v>
          </cell>
        </row>
        <row r="59">
          <cell r="A59" t="str">
            <v>DACIPK-0057</v>
          </cell>
          <cell r="B59" t="str">
            <v xml:space="preserve">Bilal Ahmad </v>
          </cell>
          <cell r="C59">
            <v>46027</v>
          </cell>
          <cell r="E59">
            <v>9396.3639999999996</v>
          </cell>
          <cell r="F59">
            <v>0</v>
          </cell>
          <cell r="G59">
            <v>0</v>
          </cell>
          <cell r="I59">
            <v>9396.3639999999996</v>
          </cell>
        </row>
        <row r="60">
          <cell r="A60" t="str">
            <v>DACIPK-0058</v>
          </cell>
          <cell r="B60" t="str">
            <v>Umair Ahmad</v>
          </cell>
          <cell r="C60">
            <v>46028</v>
          </cell>
          <cell r="E60">
            <v>0</v>
          </cell>
          <cell r="F60">
            <v>0</v>
          </cell>
          <cell r="G60">
            <v>0</v>
          </cell>
          <cell r="I60">
            <v>0</v>
          </cell>
        </row>
        <row r="61">
          <cell r="A61" t="str">
            <v>DACIPK-0059</v>
          </cell>
          <cell r="B61" t="str">
            <v>Bushra Laraib - KHI</v>
          </cell>
          <cell r="C61">
            <v>46034</v>
          </cell>
          <cell r="E61">
            <v>0</v>
          </cell>
          <cell r="F61">
            <v>0</v>
          </cell>
          <cell r="G61">
            <v>0</v>
          </cell>
          <cell r="I61">
            <v>0</v>
          </cell>
        </row>
        <row r="62">
          <cell r="A62" t="str">
            <v>DACIPK-0060</v>
          </cell>
          <cell r="B62" t="str">
            <v>Muhammad Danyal</v>
          </cell>
          <cell r="C62">
            <v>46034</v>
          </cell>
          <cell r="E62">
            <v>36886.364999999998</v>
          </cell>
          <cell r="F62">
            <v>0</v>
          </cell>
          <cell r="G62">
            <v>0</v>
          </cell>
          <cell r="I62">
            <v>36886.364999999998</v>
          </cell>
        </row>
        <row r="63">
          <cell r="A63" t="str">
            <v>DACIPK-0061</v>
          </cell>
          <cell r="B63" t="str">
            <v>Safiyullah Nadeem</v>
          </cell>
          <cell r="C63">
            <v>46071</v>
          </cell>
          <cell r="E63">
            <v>0</v>
          </cell>
          <cell r="F63">
            <v>0</v>
          </cell>
          <cell r="G63">
            <v>0</v>
          </cell>
          <cell r="I63">
            <v>0</v>
          </cell>
        </row>
        <row r="64">
          <cell r="A64" t="str">
            <v>DACIPK-0062</v>
          </cell>
          <cell r="B64" t="str">
            <v>Hareem Safdar</v>
          </cell>
          <cell r="C64">
            <v>46055</v>
          </cell>
          <cell r="E64">
            <v>0</v>
          </cell>
          <cell r="F64">
            <v>0</v>
          </cell>
          <cell r="G64">
            <v>0</v>
          </cell>
          <cell r="I64">
            <v>0</v>
          </cell>
        </row>
        <row r="65">
          <cell r="A65" t="str">
            <v>DACIPK-0063</v>
          </cell>
          <cell r="B65" t="str">
            <v xml:space="preserve">Abdur Rafay </v>
          </cell>
          <cell r="C65">
            <v>46062</v>
          </cell>
          <cell r="E65">
            <v>26816.870492350001</v>
          </cell>
          <cell r="F65">
            <v>0</v>
          </cell>
          <cell r="G65">
            <v>0</v>
          </cell>
          <cell r="I65">
            <v>26816.870492350001</v>
          </cell>
        </row>
        <row r="66">
          <cell r="A66" t="str">
            <v>DACIPK-0064</v>
          </cell>
          <cell r="B66" t="str">
            <v>Nouman Khan</v>
          </cell>
          <cell r="C66">
            <v>46062</v>
          </cell>
          <cell r="E66">
            <v>18221.295749999997</v>
          </cell>
          <cell r="F66">
            <v>0</v>
          </cell>
          <cell r="G66">
            <v>0</v>
          </cell>
          <cell r="I66">
            <v>18221.295749999997</v>
          </cell>
        </row>
        <row r="67">
          <cell r="A67" t="str">
            <v>DACIPK-0065</v>
          </cell>
          <cell r="B67" t="str">
            <v>Arsal Khan</v>
          </cell>
          <cell r="C67">
            <v>46069</v>
          </cell>
          <cell r="E67">
            <v>0</v>
          </cell>
          <cell r="F67">
            <v>0</v>
          </cell>
          <cell r="G67">
            <v>0</v>
          </cell>
          <cell r="I67">
            <v>0</v>
          </cell>
        </row>
        <row r="68">
          <cell r="A68" t="str">
            <v>DACIPK-0066</v>
          </cell>
          <cell r="B68" t="str">
            <v>Abdul Saboor</v>
          </cell>
          <cell r="C68">
            <v>46069</v>
          </cell>
          <cell r="E68">
            <v>0</v>
          </cell>
          <cell r="F68">
            <v>0</v>
          </cell>
          <cell r="G68">
            <v>0</v>
          </cell>
          <cell r="I68">
            <v>0</v>
          </cell>
        </row>
        <row r="69">
          <cell r="A69" t="str">
            <v>DACIPK-0067</v>
          </cell>
          <cell r="B69" t="str">
            <v>Sadia Gul</v>
          </cell>
          <cell r="C69">
            <v>46083</v>
          </cell>
          <cell r="E69">
            <v>16456.59175</v>
          </cell>
          <cell r="I69">
            <v>16456.59175</v>
          </cell>
        </row>
        <row r="70">
          <cell r="A70" t="str">
            <v>DACIPK-0068</v>
          </cell>
          <cell r="B70" t="str">
            <v>Muhammad Khuzaimah Saqib</v>
          </cell>
          <cell r="C70">
            <v>46083</v>
          </cell>
          <cell r="E70">
            <v>16456.59175</v>
          </cell>
          <cell r="I70">
            <v>16456.59175</v>
          </cell>
        </row>
        <row r="71">
          <cell r="A71" t="str">
            <v>DACIPK-0069</v>
          </cell>
          <cell r="B71" t="str">
            <v>Kashif Hassan</v>
          </cell>
          <cell r="C71">
            <v>46113</v>
          </cell>
          <cell r="E71">
            <v>4545.4549999999999</v>
          </cell>
          <cell r="I71">
            <v>4545.4549999999999</v>
          </cell>
        </row>
        <row r="72">
          <cell r="A72" t="str">
            <v>DACIPK-0070</v>
          </cell>
          <cell r="B72" t="str">
            <v>Noveera Baloch</v>
          </cell>
          <cell r="C72">
            <v>46113</v>
          </cell>
          <cell r="E72">
            <v>10227.27375</v>
          </cell>
          <cell r="I72">
            <v>10227.27375</v>
          </cell>
        </row>
        <row r="73">
          <cell r="A73" t="str">
            <v>DACIPK-0071</v>
          </cell>
          <cell r="B73" t="str">
            <v>Abdul Samad</v>
          </cell>
          <cell r="C73">
            <v>46113</v>
          </cell>
          <cell r="E73">
            <v>7500.0007499999992</v>
          </cell>
          <cell r="I73">
            <v>7500.0007499999992</v>
          </cell>
        </row>
        <row r="74">
          <cell r="A74" t="str">
            <v>DACIPK-0072</v>
          </cell>
          <cell r="B74" t="str">
            <v>Umar Ahmed</v>
          </cell>
          <cell r="C74">
            <v>46118</v>
          </cell>
          <cell r="E74">
            <v>11363.637500000003</v>
          </cell>
          <cell r="I74">
            <v>11363.637500000003</v>
          </cell>
        </row>
        <row r="75">
          <cell r="A75" t="str">
            <v>DACIPK-0073</v>
          </cell>
          <cell r="B75" t="str">
            <v>Muhammad Mudassir</v>
          </cell>
          <cell r="C75">
            <v>46118</v>
          </cell>
          <cell r="E75">
            <v>7500.0007499999992</v>
          </cell>
          <cell r="I75">
            <v>7500.0007499999992</v>
          </cell>
        </row>
        <row r="76">
          <cell r="A76" t="str">
            <v>DACIPK-0074</v>
          </cell>
          <cell r="B76" t="str">
            <v>Uzair Shakil</v>
          </cell>
          <cell r="C76">
            <v>46125</v>
          </cell>
          <cell r="E76">
            <v>3142.4245566666664</v>
          </cell>
          <cell r="I76">
            <v>3142.4245566666664</v>
          </cell>
        </row>
        <row r="77">
          <cell r="A77" t="str">
            <v>DACIPK-0075</v>
          </cell>
          <cell r="B77" t="str">
            <v>Umair Irfan</v>
          </cell>
          <cell r="C77">
            <v>46146</v>
          </cell>
          <cell r="E77">
            <v>0</v>
          </cell>
          <cell r="I77">
            <v>0</v>
          </cell>
        </row>
        <row r="78">
          <cell r="A78" t="str">
            <v>DACIPK-0076</v>
          </cell>
          <cell r="B78" t="str">
            <v>Sarah Rauf</v>
          </cell>
          <cell r="C78">
            <v>46146</v>
          </cell>
          <cell r="E78">
            <v>0</v>
          </cell>
          <cell r="I78">
            <v>0</v>
          </cell>
        </row>
        <row r="79">
          <cell r="A79" t="str">
            <v>DACIPK-0077</v>
          </cell>
          <cell r="B79" t="str">
            <v>Muhammad Abbas Malik</v>
          </cell>
          <cell r="C79">
            <v>46146</v>
          </cell>
          <cell r="E79">
            <v>0</v>
          </cell>
          <cell r="I79">
            <v>0</v>
          </cell>
        </row>
        <row r="80">
          <cell r="A80" t="str">
            <v>DACIPK-0078</v>
          </cell>
          <cell r="B80" t="str">
            <v>Yasir Usman</v>
          </cell>
          <cell r="C80">
            <v>46153</v>
          </cell>
          <cell r="E80">
            <v>0</v>
          </cell>
          <cell r="I80">
            <v>0</v>
          </cell>
        </row>
        <row r="81">
          <cell r="A81" t="str">
            <v>DACIPK-0080</v>
          </cell>
          <cell r="B81" t="str">
            <v>Muhammad Waleed</v>
          </cell>
          <cell r="C81">
            <v>46160</v>
          </cell>
          <cell r="E81">
            <v>0</v>
          </cell>
          <cell r="I81">
            <v>0</v>
          </cell>
        </row>
        <row r="82">
          <cell r="A82" t="str">
            <v>DACIPK-0081</v>
          </cell>
          <cell r="B82" t="str">
            <v>Maaz Khan</v>
          </cell>
          <cell r="C82">
            <v>46174</v>
          </cell>
          <cell r="E82">
            <v>24875.001250000001</v>
          </cell>
          <cell r="I82">
            <v>24875.001250000001</v>
          </cell>
        </row>
        <row r="83">
          <cell r="A83" t="str">
            <v>DACIPK-0082</v>
          </cell>
          <cell r="B83" t="str">
            <v>Siyam Toufeeq</v>
          </cell>
          <cell r="E83">
            <v>0</v>
          </cell>
          <cell r="I83">
            <v>0</v>
          </cell>
        </row>
        <row r="84">
          <cell r="A84" t="str">
            <v>DACIPK-0083</v>
          </cell>
          <cell r="B84" t="str">
            <v>Rayyan Akmal</v>
          </cell>
          <cell r="E84">
            <v>0</v>
          </cell>
          <cell r="I84">
            <v>0</v>
          </cell>
        </row>
        <row r="85">
          <cell r="A85" t="str">
            <v>DACIPK-0084</v>
          </cell>
          <cell r="B85" t="str">
            <v>Areeba Butt</v>
          </cell>
          <cell r="I85">
            <v>0</v>
          </cell>
        </row>
        <row r="86">
          <cell r="A86" t="str">
            <v>DACIPK-0085</v>
          </cell>
          <cell r="B86" t="str">
            <v>Shayan Mumtaz</v>
          </cell>
          <cell r="E86">
            <v>0</v>
          </cell>
          <cell r="I86">
            <v>0</v>
          </cell>
        </row>
        <row r="87">
          <cell r="A87" t="str">
            <v>DACIPK-0086</v>
          </cell>
          <cell r="B87" t="str">
            <v>Zainab Hussain</v>
          </cell>
          <cell r="E87">
            <v>0</v>
          </cell>
          <cell r="I87">
            <v>0</v>
          </cell>
        </row>
        <row r="88">
          <cell r="A88" t="str">
            <v>DACIPK-0087</v>
          </cell>
          <cell r="B88" t="str">
            <v>Javeria Nadeem</v>
          </cell>
          <cell r="E88">
            <v>0</v>
          </cell>
          <cell r="I88">
            <v>0</v>
          </cell>
        </row>
        <row r="89">
          <cell r="A89" t="str">
            <v>DACIPK-0088</v>
          </cell>
          <cell r="B89" t="str">
            <v>Naeem Jan</v>
          </cell>
          <cell r="E89">
            <v>0</v>
          </cell>
          <cell r="I89">
            <v>0</v>
          </cell>
        </row>
        <row r="90">
          <cell r="A90" t="str">
            <v>DACIPK-0089</v>
          </cell>
          <cell r="B90" t="str">
            <v>Syeda Zaufyshan Shakeeb</v>
          </cell>
          <cell r="E90">
            <v>0</v>
          </cell>
          <cell r="I90">
            <v>0</v>
          </cell>
        </row>
        <row r="91">
          <cell r="A91" t="str">
            <v>DACIPK-0090</v>
          </cell>
          <cell r="B91" t="str">
            <v>Muhammad Yahya Mazhar</v>
          </cell>
          <cell r="E91">
            <v>0</v>
          </cell>
          <cell r="I91">
            <v>0</v>
          </cell>
        </row>
        <row r="92">
          <cell r="A92" t="str">
            <v>DACIPK-0091</v>
          </cell>
          <cell r="B92" t="str">
            <v>Faqir Hussain</v>
          </cell>
          <cell r="E92">
            <v>0</v>
          </cell>
          <cell r="I92">
            <v>0</v>
          </cell>
        </row>
        <row r="93">
          <cell r="A93" t="str">
            <v>DACIPK-0092</v>
          </cell>
          <cell r="B93" t="str">
            <v>Anas Nisar</v>
          </cell>
          <cell r="E93">
            <v>0</v>
          </cell>
          <cell r="I9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zoomScale="90" workbookViewId="0">
      <selection activeCell="I12" sqref="I12"/>
    </sheetView>
  </sheetViews>
  <sheetFormatPr defaultRowHeight="15" x14ac:dyDescent="0.25"/>
  <cols>
    <col min="1" max="2" width="24" customWidth="1"/>
    <col min="3" max="3" width="34.5703125" bestFit="1" customWidth="1"/>
    <col min="4" max="13" width="24" customWidth="1"/>
  </cols>
  <sheetData>
    <row r="1" spans="1:13" ht="15.75" thickBot="1" x14ac:dyDescent="0.3">
      <c r="A1" s="1" t="s">
        <v>0</v>
      </c>
      <c r="B1" s="1" t="s">
        <v>1</v>
      </c>
      <c r="C1" s="1" t="s">
        <v>143</v>
      </c>
      <c r="D1" s="1" t="s">
        <v>184</v>
      </c>
      <c r="E1" s="1" t="s">
        <v>178</v>
      </c>
      <c r="F1" s="1" t="s">
        <v>177</v>
      </c>
      <c r="G1" s="1" t="s">
        <v>176</v>
      </c>
      <c r="H1" s="1" t="s">
        <v>179</v>
      </c>
      <c r="I1" s="1" t="s">
        <v>180</v>
      </c>
      <c r="J1" s="1" t="s">
        <v>181</v>
      </c>
      <c r="K1" s="1" t="s">
        <v>2</v>
      </c>
      <c r="L1" s="1" t="s">
        <v>182</v>
      </c>
      <c r="M1" s="1" t="s">
        <v>183</v>
      </c>
    </row>
    <row r="2" spans="1:13" x14ac:dyDescent="0.25">
      <c r="A2" s="2" t="s">
        <v>29</v>
      </c>
      <c r="B2" s="2" t="s">
        <v>30</v>
      </c>
      <c r="C2" s="3" t="s">
        <v>144</v>
      </c>
      <c r="D2" s="4">
        <v>30</v>
      </c>
      <c r="E2" s="5">
        <v>356363.67200000002</v>
      </c>
      <c r="F2" s="6"/>
      <c r="G2" s="7">
        <v>356364</v>
      </c>
      <c r="H2" s="7">
        <v>35636</v>
      </c>
      <c r="I2" s="8">
        <f>+F2+G2+H2</f>
        <v>392000</v>
      </c>
      <c r="J2" s="7">
        <v>49345.464880000007</v>
      </c>
      <c r="K2" s="7">
        <v>370</v>
      </c>
      <c r="L2" s="7">
        <v>342284.53512000002</v>
      </c>
      <c r="M2" s="7">
        <f>VLOOKUP(A2,[1]Summary!$A$3:$I$93,9,0)</f>
        <v>534058.18359999999</v>
      </c>
    </row>
    <row r="3" spans="1:13" ht="24" x14ac:dyDescent="0.25">
      <c r="A3" s="9" t="s">
        <v>116</v>
      </c>
      <c r="B3" s="9" t="s">
        <v>117</v>
      </c>
      <c r="C3" s="10" t="s">
        <v>145</v>
      </c>
      <c r="D3" s="11">
        <v>30</v>
      </c>
      <c r="E3" s="12">
        <v>321818.21399999998</v>
      </c>
      <c r="F3" s="13"/>
      <c r="G3" s="7">
        <v>321818</v>
      </c>
      <c r="H3" s="7">
        <v>32182</v>
      </c>
      <c r="I3" s="8">
        <f t="shared" ref="I3:I66" si="0">+F3+G3+H3</f>
        <v>354000</v>
      </c>
      <c r="J3" s="7">
        <v>40121.220166666666</v>
      </c>
      <c r="K3" s="7">
        <v>370</v>
      </c>
      <c r="L3" s="7">
        <v>313508.77983333333</v>
      </c>
      <c r="M3" s="7">
        <f>VLOOKUP(A3,[1]Summary!$A$3:$I$93,9,0)</f>
        <v>404080.91070000001</v>
      </c>
    </row>
    <row r="4" spans="1:13" x14ac:dyDescent="0.25">
      <c r="A4" s="9" t="s">
        <v>112</v>
      </c>
      <c r="B4" s="9" t="s">
        <v>113</v>
      </c>
      <c r="C4" s="14" t="s">
        <v>146</v>
      </c>
      <c r="D4" s="11">
        <v>30</v>
      </c>
      <c r="E4" s="12">
        <v>306992.75797199999</v>
      </c>
      <c r="F4" s="13"/>
      <c r="G4" s="7">
        <v>306993</v>
      </c>
      <c r="H4" s="7">
        <v>30699</v>
      </c>
      <c r="I4" s="8">
        <f t="shared" si="0"/>
        <v>337692</v>
      </c>
      <c r="J4" s="7">
        <v>36414.85615966667</v>
      </c>
      <c r="K4" s="7">
        <v>370</v>
      </c>
      <c r="L4" s="7">
        <v>300907.14384033333</v>
      </c>
      <c r="M4" s="7">
        <f>VLOOKUP(A4,[1]Summary!$A$3:$I$93,9,0)</f>
        <v>463133.83789860009</v>
      </c>
    </row>
    <row r="5" spans="1:13" ht="24" x14ac:dyDescent="0.25">
      <c r="A5" s="9" t="s">
        <v>124</v>
      </c>
      <c r="B5" s="9" t="s">
        <v>125</v>
      </c>
      <c r="C5" s="10" t="s">
        <v>147</v>
      </c>
      <c r="D5" s="11">
        <v>30</v>
      </c>
      <c r="E5" s="12">
        <v>210409.11194999999</v>
      </c>
      <c r="F5" s="13"/>
      <c r="G5" s="7">
        <v>210409</v>
      </c>
      <c r="H5" s="7">
        <v>21041</v>
      </c>
      <c r="I5" s="8">
        <f t="shared" si="0"/>
        <v>231450</v>
      </c>
      <c r="J5" s="7">
        <v>15081.822389999994</v>
      </c>
      <c r="K5" s="7">
        <v>370</v>
      </c>
      <c r="L5" s="7">
        <v>215998.17761000001</v>
      </c>
      <c r="M5" s="7">
        <f>VLOOKUP(A5,[1]Summary!$A$3:$I$93,9,0)</f>
        <v>314877.95559749997</v>
      </c>
    </row>
    <row r="6" spans="1:13" ht="24" x14ac:dyDescent="0.25">
      <c r="A6" s="9" t="s">
        <v>31</v>
      </c>
      <c r="B6" s="9" t="s">
        <v>32</v>
      </c>
      <c r="C6" s="10" t="s">
        <v>148</v>
      </c>
      <c r="D6" s="11">
        <v>30</v>
      </c>
      <c r="E6" s="12">
        <v>321818.21399999998</v>
      </c>
      <c r="F6" s="13"/>
      <c r="G6" s="7">
        <v>321818</v>
      </c>
      <c r="H6" s="7">
        <v>32182</v>
      </c>
      <c r="I6" s="8">
        <f t="shared" si="0"/>
        <v>354000</v>
      </c>
      <c r="J6" s="7">
        <v>40121.220166666666</v>
      </c>
      <c r="K6" s="7">
        <v>370</v>
      </c>
      <c r="L6" s="7">
        <v>313508.77983333333</v>
      </c>
      <c r="M6" s="7">
        <f>VLOOKUP(A6,[1]Summary!$A$3:$I$93,9,0)</f>
        <v>485890.91070000001</v>
      </c>
    </row>
    <row r="7" spans="1:13" x14ac:dyDescent="0.25">
      <c r="A7" s="9" t="s">
        <v>122</v>
      </c>
      <c r="B7" s="9" t="s">
        <v>123</v>
      </c>
      <c r="C7" s="14" t="s">
        <v>146</v>
      </c>
      <c r="D7" s="11">
        <v>30</v>
      </c>
      <c r="E7" s="12">
        <v>212424.566697</v>
      </c>
      <c r="F7" s="13"/>
      <c r="G7" s="7">
        <v>212425</v>
      </c>
      <c r="H7" s="7">
        <v>21242</v>
      </c>
      <c r="I7" s="8">
        <f t="shared" si="0"/>
        <v>233667</v>
      </c>
      <c r="J7" s="7">
        <v>15484.913339399996</v>
      </c>
      <c r="K7" s="7">
        <v>370</v>
      </c>
      <c r="L7" s="7">
        <v>217812.08666060001</v>
      </c>
      <c r="M7" s="7">
        <f>VLOOKUP(A7,[1]Summary!$A$3:$I$93,9,0)</f>
        <v>317971.67833485</v>
      </c>
    </row>
    <row r="8" spans="1:13" x14ac:dyDescent="0.25">
      <c r="A8" s="9" t="s">
        <v>55</v>
      </c>
      <c r="B8" s="9" t="s">
        <v>56</v>
      </c>
      <c r="C8" s="14" t="s">
        <v>149</v>
      </c>
      <c r="D8" s="11">
        <v>30</v>
      </c>
      <c r="E8" s="12">
        <v>149090.924</v>
      </c>
      <c r="F8" s="13"/>
      <c r="G8" s="7">
        <v>149091</v>
      </c>
      <c r="H8" s="7">
        <v>14909</v>
      </c>
      <c r="I8" s="8">
        <f t="shared" si="0"/>
        <v>164000</v>
      </c>
      <c r="J8" s="7">
        <v>5900.0016399999995</v>
      </c>
      <c r="K8" s="7">
        <v>370</v>
      </c>
      <c r="L8" s="7">
        <v>157729.99836</v>
      </c>
      <c r="M8" s="7">
        <f>VLOOKUP(A8,[1]Summary!$A$3:$I$93,9,0)</f>
        <v>220754.54619999998</v>
      </c>
    </row>
    <row r="9" spans="1:13" x14ac:dyDescent="0.25">
      <c r="A9" s="9" t="s">
        <v>57</v>
      </c>
      <c r="B9" s="9" t="s">
        <v>58</v>
      </c>
      <c r="C9" s="14" t="s">
        <v>150</v>
      </c>
      <c r="D9" s="11">
        <v>30</v>
      </c>
      <c r="E9" s="12">
        <v>237211.84190299999</v>
      </c>
      <c r="F9" s="13"/>
      <c r="G9" s="7">
        <v>237212</v>
      </c>
      <c r="H9" s="7">
        <v>23721</v>
      </c>
      <c r="I9" s="8">
        <f t="shared" si="0"/>
        <v>260933</v>
      </c>
      <c r="J9" s="7">
        <v>20442.368380599997</v>
      </c>
      <c r="K9" s="7">
        <v>370</v>
      </c>
      <c r="L9" s="7">
        <v>240120.6316194</v>
      </c>
      <c r="M9" s="7">
        <f>VLOOKUP(A9,[1]Summary!$A$3:$I$93,9,0)</f>
        <v>293452.50209515</v>
      </c>
    </row>
    <row r="10" spans="1:13" x14ac:dyDescent="0.25">
      <c r="A10" s="9" t="s">
        <v>7</v>
      </c>
      <c r="B10" s="9" t="s">
        <v>8</v>
      </c>
      <c r="C10" s="14" t="s">
        <v>151</v>
      </c>
      <c r="D10" s="11">
        <v>30</v>
      </c>
      <c r="E10" s="12">
        <v>220000.022</v>
      </c>
      <c r="F10" s="13"/>
      <c r="G10" s="7">
        <v>220000</v>
      </c>
      <c r="H10" s="7">
        <v>22000</v>
      </c>
      <c r="I10" s="8">
        <f t="shared" si="0"/>
        <v>242000</v>
      </c>
      <c r="J10" s="7">
        <v>17000.004400000002</v>
      </c>
      <c r="K10" s="7">
        <v>370</v>
      </c>
      <c r="L10" s="7">
        <v>224629.99559999999</v>
      </c>
      <c r="M10" s="7">
        <f>VLOOKUP(A10,[1]Summary!$A$3:$I$93,9,0)</f>
        <v>287480.00109999999</v>
      </c>
    </row>
    <row r="11" spans="1:13" x14ac:dyDescent="0.25">
      <c r="A11" s="9" t="s">
        <v>82</v>
      </c>
      <c r="B11" s="9" t="s">
        <v>83</v>
      </c>
      <c r="C11" s="14" t="s">
        <v>146</v>
      </c>
      <c r="D11" s="11">
        <v>30</v>
      </c>
      <c r="E11" s="12">
        <v>192272.74650000001</v>
      </c>
      <c r="F11" s="13"/>
      <c r="G11" s="7">
        <v>192273</v>
      </c>
      <c r="H11" s="7">
        <v>19227</v>
      </c>
      <c r="I11" s="8">
        <f t="shared" si="0"/>
        <v>211500</v>
      </c>
      <c r="J11" s="7">
        <v>11454.549300000001</v>
      </c>
      <c r="K11" s="7">
        <v>370</v>
      </c>
      <c r="L11" s="7">
        <v>199675.45069999999</v>
      </c>
      <c r="M11" s="7">
        <f>VLOOKUP(A11,[1]Summary!$A$3:$I$93,9,0)</f>
        <v>287038.63732500002</v>
      </c>
    </row>
    <row r="12" spans="1:13" x14ac:dyDescent="0.25">
      <c r="A12" s="9" t="s">
        <v>126</v>
      </c>
      <c r="B12" s="9" t="s">
        <v>127</v>
      </c>
      <c r="C12" s="10" t="s">
        <v>152</v>
      </c>
      <c r="D12" s="11">
        <v>30</v>
      </c>
      <c r="E12" s="12">
        <v>318181.84999999998</v>
      </c>
      <c r="F12" s="13"/>
      <c r="G12" s="7">
        <v>318182</v>
      </c>
      <c r="H12" s="7">
        <v>31818</v>
      </c>
      <c r="I12" s="8"/>
      <c r="J12" s="7">
        <v>39212.129166666658</v>
      </c>
      <c r="K12" s="7">
        <v>370</v>
      </c>
      <c r="L12" s="7">
        <v>310417.87083333335</v>
      </c>
      <c r="M12" s="7">
        <f>VLOOKUP(A12,[1]Summary!$A$3:$I$93,9,0)</f>
        <v>272442.21250000002</v>
      </c>
    </row>
    <row r="13" spans="1:13" x14ac:dyDescent="0.25">
      <c r="A13" s="9" t="s">
        <v>13</v>
      </c>
      <c r="B13" s="9" t="s">
        <v>14</v>
      </c>
      <c r="C13" s="10" t="s">
        <v>153</v>
      </c>
      <c r="D13" s="11">
        <v>30</v>
      </c>
      <c r="E13" s="12">
        <v>110977.28382499999</v>
      </c>
      <c r="F13" s="13"/>
      <c r="G13" s="7">
        <v>110977</v>
      </c>
      <c r="H13" s="7">
        <v>11098</v>
      </c>
      <c r="I13" s="8">
        <f t="shared" si="0"/>
        <v>122075</v>
      </c>
      <c r="J13" s="7">
        <v>1707.5012207499992</v>
      </c>
      <c r="K13" s="7">
        <v>370</v>
      </c>
      <c r="L13" s="7">
        <v>119997.49877925</v>
      </c>
      <c r="M13" s="7">
        <f>VLOOKUP(A13,[1]Summary!$A$3:$I$93,9,0)</f>
        <v>90152.554191250005</v>
      </c>
    </row>
    <row r="14" spans="1:13" x14ac:dyDescent="0.25">
      <c r="A14" s="9" t="s">
        <v>130</v>
      </c>
      <c r="B14" s="9" t="s">
        <v>131</v>
      </c>
      <c r="C14" s="10" t="s">
        <v>154</v>
      </c>
      <c r="D14" s="11">
        <v>30</v>
      </c>
      <c r="E14" s="12">
        <v>149754.88989000002</v>
      </c>
      <c r="F14" s="13"/>
      <c r="G14" s="7">
        <v>149755</v>
      </c>
      <c r="H14" s="7">
        <v>14975</v>
      </c>
      <c r="I14" s="8">
        <f t="shared" si="0"/>
        <v>164730</v>
      </c>
      <c r="J14" s="7">
        <v>5973.0378879000027</v>
      </c>
      <c r="K14" s="7">
        <v>370</v>
      </c>
      <c r="L14" s="7">
        <v>158386.96211210001</v>
      </c>
      <c r="M14" s="7">
        <f>VLOOKUP(A14,[1]Summary!$A$3:$I$93,9,0)</f>
        <v>126230.3244945</v>
      </c>
    </row>
    <row r="15" spans="1:13" x14ac:dyDescent="0.25">
      <c r="A15" s="9" t="s">
        <v>53</v>
      </c>
      <c r="B15" s="9" t="s">
        <v>54</v>
      </c>
      <c r="C15" s="10" t="s">
        <v>155</v>
      </c>
      <c r="D15" s="11">
        <v>30</v>
      </c>
      <c r="E15" s="12">
        <v>186804.56413499999</v>
      </c>
      <c r="F15" s="13"/>
      <c r="G15" s="7">
        <v>186805</v>
      </c>
      <c r="H15" s="7">
        <v>18680</v>
      </c>
      <c r="I15" s="8">
        <f t="shared" si="0"/>
        <v>205485</v>
      </c>
      <c r="J15" s="7">
        <v>10360.912826999998</v>
      </c>
      <c r="K15" s="7">
        <v>370</v>
      </c>
      <c r="L15" s="7">
        <v>194754.08717300001</v>
      </c>
      <c r="M15" s="7">
        <f>VLOOKUP(A15,[1]Summary!$A$3:$I$93,9,0)</f>
        <v>120081.17820674999</v>
      </c>
    </row>
    <row r="16" spans="1:13" x14ac:dyDescent="0.25">
      <c r="A16" s="9" t="s">
        <v>98</v>
      </c>
      <c r="B16" s="9" t="s">
        <v>99</v>
      </c>
      <c r="C16" s="10" t="s">
        <v>151</v>
      </c>
      <c r="D16" s="11">
        <v>30</v>
      </c>
      <c r="E16" s="12">
        <v>227272.75000000003</v>
      </c>
      <c r="F16" s="13"/>
      <c r="G16" s="7">
        <v>227273.00000000003</v>
      </c>
      <c r="H16" s="7">
        <v>22727</v>
      </c>
      <c r="I16" s="8">
        <f t="shared" si="0"/>
        <v>250000.00000000003</v>
      </c>
      <c r="J16" s="7">
        <v>18454.550000000007</v>
      </c>
      <c r="K16" s="7">
        <v>370</v>
      </c>
      <c r="L16" s="7">
        <v>231175.45</v>
      </c>
      <c r="M16" s="7">
        <f>VLOOKUP(A16,[1]Summary!$A$3:$I$93,9,0)</f>
        <v>142223.63750000001</v>
      </c>
    </row>
    <row r="17" spans="1:13" x14ac:dyDescent="0.25">
      <c r="A17" s="9" t="s">
        <v>19</v>
      </c>
      <c r="B17" s="9" t="s">
        <v>20</v>
      </c>
      <c r="C17" s="10" t="s">
        <v>151</v>
      </c>
      <c r="D17" s="11">
        <v>30</v>
      </c>
      <c r="E17" s="12">
        <v>272727.3</v>
      </c>
      <c r="F17" s="13"/>
      <c r="G17" s="7">
        <v>272727</v>
      </c>
      <c r="H17" s="7">
        <v>27273</v>
      </c>
      <c r="I17" s="8">
        <f t="shared" si="0"/>
        <v>300000</v>
      </c>
      <c r="J17" s="7">
        <v>27848.491666666658</v>
      </c>
      <c r="K17" s="7">
        <v>370</v>
      </c>
      <c r="L17" s="7">
        <v>271781.50833333336</v>
      </c>
      <c r="M17" s="7">
        <f>VLOOKUP(A17,[1]Summary!$A$3:$I$93,9,0)</f>
        <v>151696.36499999999</v>
      </c>
    </row>
    <row r="18" spans="1:13" x14ac:dyDescent="0.25">
      <c r="A18" s="9" t="s">
        <v>35</v>
      </c>
      <c r="B18" s="9" t="s">
        <v>36</v>
      </c>
      <c r="C18" s="10" t="s">
        <v>155</v>
      </c>
      <c r="D18" s="11">
        <v>30</v>
      </c>
      <c r="E18" s="12">
        <v>186804.56413499999</v>
      </c>
      <c r="F18" s="13"/>
      <c r="G18" s="7">
        <v>186805</v>
      </c>
      <c r="H18" s="7">
        <v>18680</v>
      </c>
      <c r="I18" s="8">
        <f t="shared" si="0"/>
        <v>205485</v>
      </c>
      <c r="J18" s="7">
        <v>10360.912826999998</v>
      </c>
      <c r="K18" s="7">
        <v>370</v>
      </c>
      <c r="L18" s="7">
        <v>194754.08717300001</v>
      </c>
      <c r="M18" s="7">
        <f>VLOOKUP(A18,[1]Summary!$A$3:$I$93,9,0)</f>
        <v>110541.17820674999</v>
      </c>
    </row>
    <row r="19" spans="1:13" x14ac:dyDescent="0.25">
      <c r="A19" s="9" t="s">
        <v>68</v>
      </c>
      <c r="B19" s="9" t="s">
        <v>69</v>
      </c>
      <c r="C19" s="10" t="s">
        <v>155</v>
      </c>
      <c r="D19" s="11">
        <v>30</v>
      </c>
      <c r="E19" s="12">
        <v>186804.56413499999</v>
      </c>
      <c r="F19" s="13"/>
      <c r="G19" s="7">
        <v>186805</v>
      </c>
      <c r="H19" s="7">
        <v>18680</v>
      </c>
      <c r="I19" s="8">
        <f t="shared" si="0"/>
        <v>205485</v>
      </c>
      <c r="J19" s="7">
        <v>10360.912826999998</v>
      </c>
      <c r="K19" s="7">
        <v>370</v>
      </c>
      <c r="L19" s="7">
        <v>194754.08717300001</v>
      </c>
      <c r="M19" s="7">
        <f>VLOOKUP(A19,[1]Summary!$A$3:$I$93,9,0)</f>
        <v>105141.17820674999</v>
      </c>
    </row>
    <row r="20" spans="1:13" x14ac:dyDescent="0.25">
      <c r="A20" s="9" t="s">
        <v>76</v>
      </c>
      <c r="B20" s="9" t="s">
        <v>77</v>
      </c>
      <c r="C20" s="10" t="s">
        <v>155</v>
      </c>
      <c r="D20" s="11">
        <v>30</v>
      </c>
      <c r="E20" s="12">
        <v>186804.56413499999</v>
      </c>
      <c r="F20" s="13"/>
      <c r="G20" s="7">
        <v>186805</v>
      </c>
      <c r="H20" s="7">
        <v>18680</v>
      </c>
      <c r="I20" s="8">
        <f t="shared" si="0"/>
        <v>205485</v>
      </c>
      <c r="J20" s="7">
        <v>10360.912826999998</v>
      </c>
      <c r="K20" s="7">
        <v>370</v>
      </c>
      <c r="L20" s="7">
        <v>194754.08717300001</v>
      </c>
      <c r="M20" s="7">
        <f>VLOOKUP(A20,[1]Summary!$A$3:$I$93,9,0)</f>
        <v>105141.17820674999</v>
      </c>
    </row>
    <row r="21" spans="1:13" x14ac:dyDescent="0.25">
      <c r="A21" s="9" t="s">
        <v>21</v>
      </c>
      <c r="B21" s="15" t="s">
        <v>22</v>
      </c>
      <c r="C21" s="10" t="s">
        <v>151</v>
      </c>
      <c r="D21" s="11">
        <v>30</v>
      </c>
      <c r="E21" s="12">
        <v>227272.75000000003</v>
      </c>
      <c r="F21" s="13"/>
      <c r="G21" s="7">
        <v>227273.00000000003</v>
      </c>
      <c r="H21" s="7">
        <v>22727</v>
      </c>
      <c r="I21" s="8">
        <f t="shared" si="0"/>
        <v>250000.00000000003</v>
      </c>
      <c r="J21" s="7">
        <v>18454.550000000007</v>
      </c>
      <c r="K21" s="7">
        <v>370</v>
      </c>
      <c r="L21" s="7">
        <v>231175.45</v>
      </c>
      <c r="M21" s="7">
        <f>VLOOKUP(A21,[1]Summary!$A$3:$I$93,9,0)</f>
        <v>110903.6375</v>
      </c>
    </row>
    <row r="22" spans="1:13" x14ac:dyDescent="0.25">
      <c r="A22" s="15" t="s">
        <v>27</v>
      </c>
      <c r="B22" s="15" t="s">
        <v>28</v>
      </c>
      <c r="C22" s="16" t="s">
        <v>156</v>
      </c>
      <c r="D22" s="11">
        <v>30</v>
      </c>
      <c r="E22" s="12">
        <v>186804.56413499999</v>
      </c>
      <c r="F22" s="17"/>
      <c r="G22" s="7">
        <v>186805</v>
      </c>
      <c r="H22" s="7">
        <v>18680</v>
      </c>
      <c r="I22" s="8">
        <f t="shared" si="0"/>
        <v>205485</v>
      </c>
      <c r="J22" s="7">
        <v>10360.912826999998</v>
      </c>
      <c r="K22" s="7">
        <v>370</v>
      </c>
      <c r="L22" s="7">
        <v>194754.08717300001</v>
      </c>
      <c r="M22" s="7">
        <f>VLOOKUP(A22,[1]Summary!$A$3:$I$93,9,0)</f>
        <v>94521.178206749988</v>
      </c>
    </row>
    <row r="23" spans="1:13" x14ac:dyDescent="0.25">
      <c r="A23" s="9" t="s">
        <v>61</v>
      </c>
      <c r="B23" s="15" t="s">
        <v>62</v>
      </c>
      <c r="C23" s="10" t="s">
        <v>157</v>
      </c>
      <c r="D23" s="11">
        <v>30</v>
      </c>
      <c r="E23" s="12">
        <v>204545.47500000001</v>
      </c>
      <c r="F23" s="13"/>
      <c r="G23" s="7">
        <v>204545</v>
      </c>
      <c r="H23" s="7">
        <v>20455</v>
      </c>
      <c r="I23" s="8">
        <f t="shared" si="0"/>
        <v>225000</v>
      </c>
      <c r="J23" s="7">
        <v>13909.095000000003</v>
      </c>
      <c r="K23" s="7">
        <v>370</v>
      </c>
      <c r="L23" s="7">
        <v>210720.905</v>
      </c>
      <c r="M23" s="7">
        <f>VLOOKUP(A23,[1]Summary!$A$3:$I$93,9,0)</f>
        <v>100137.27374999999</v>
      </c>
    </row>
    <row r="24" spans="1:13" x14ac:dyDescent="0.25">
      <c r="A24" s="9" t="s">
        <v>78</v>
      </c>
      <c r="B24" s="15" t="s">
        <v>79</v>
      </c>
      <c r="C24" s="10" t="s">
        <v>158</v>
      </c>
      <c r="D24" s="11">
        <v>30</v>
      </c>
      <c r="E24" s="12">
        <v>154545.47</v>
      </c>
      <c r="F24" s="13"/>
      <c r="G24" s="7">
        <v>154545</v>
      </c>
      <c r="H24" s="7">
        <v>15455</v>
      </c>
      <c r="I24" s="8">
        <f t="shared" si="0"/>
        <v>170000</v>
      </c>
      <c r="J24" s="7">
        <v>6500.0017000000007</v>
      </c>
      <c r="K24" s="7">
        <v>370</v>
      </c>
      <c r="L24" s="7">
        <v>163129.99830000001</v>
      </c>
      <c r="M24" s="7">
        <f>VLOOKUP(A24,[1]Summary!$A$3:$I$93,9,0)</f>
        <v>69557.27350000001</v>
      </c>
    </row>
    <row r="25" spans="1:13" x14ac:dyDescent="0.25">
      <c r="A25" s="9" t="s">
        <v>39</v>
      </c>
      <c r="B25" s="15" t="s">
        <v>40</v>
      </c>
      <c r="C25" s="10" t="s">
        <v>159</v>
      </c>
      <c r="D25" s="11">
        <v>30</v>
      </c>
      <c r="E25" s="12">
        <v>200000.02</v>
      </c>
      <c r="F25" s="13"/>
      <c r="G25" s="7">
        <v>200000</v>
      </c>
      <c r="H25" s="7">
        <v>20000</v>
      </c>
      <c r="I25" s="8">
        <f t="shared" si="0"/>
        <v>220000</v>
      </c>
      <c r="J25" s="7">
        <v>13000.003999999995</v>
      </c>
      <c r="K25" s="7">
        <v>370</v>
      </c>
      <c r="L25" s="7">
        <v>206629.99600000001</v>
      </c>
      <c r="M25" s="7">
        <f>VLOOKUP(A25,[1]Summary!$A$3:$I$93,9,0)</f>
        <v>87400.001000000004</v>
      </c>
    </row>
    <row r="26" spans="1:13" x14ac:dyDescent="0.25">
      <c r="A26" s="9" t="s">
        <v>63</v>
      </c>
      <c r="B26" s="15" t="s">
        <v>64</v>
      </c>
      <c r="C26" s="10" t="s">
        <v>153</v>
      </c>
      <c r="D26" s="11">
        <v>30</v>
      </c>
      <c r="E26" s="12">
        <v>110977.28382499999</v>
      </c>
      <c r="F26" s="13"/>
      <c r="G26" s="7">
        <v>110977</v>
      </c>
      <c r="H26" s="7">
        <v>11098</v>
      </c>
      <c r="I26" s="8">
        <f t="shared" si="0"/>
        <v>122075</v>
      </c>
      <c r="J26" s="7">
        <v>1707.5012207499992</v>
      </c>
      <c r="K26" s="7">
        <v>370</v>
      </c>
      <c r="L26" s="7">
        <v>119997.49877925</v>
      </c>
      <c r="M26" s="7">
        <f>VLOOKUP(A26,[1]Summary!$A$3:$I$93,9,0)</f>
        <v>41929.114191250002</v>
      </c>
    </row>
    <row r="27" spans="1:13" x14ac:dyDescent="0.25">
      <c r="A27" s="9" t="s">
        <v>33</v>
      </c>
      <c r="B27" s="15" t="s">
        <v>34</v>
      </c>
      <c r="C27" s="10" t="s">
        <v>153</v>
      </c>
      <c r="D27" s="11">
        <v>30</v>
      </c>
      <c r="E27" s="12">
        <v>136363.65</v>
      </c>
      <c r="F27" s="13"/>
      <c r="G27" s="7">
        <v>136364</v>
      </c>
      <c r="H27" s="7">
        <v>13636</v>
      </c>
      <c r="I27" s="8">
        <f t="shared" si="0"/>
        <v>150000</v>
      </c>
      <c r="J27" s="7">
        <v>4500.0014999999985</v>
      </c>
      <c r="K27" s="7">
        <v>370</v>
      </c>
      <c r="L27" s="7">
        <v>145129.99849999999</v>
      </c>
      <c r="M27" s="7">
        <f>VLOOKUP(A27,[1]Summary!$A$3:$I$93,9,0)</f>
        <v>50738.182500000003</v>
      </c>
    </row>
    <row r="28" spans="1:13" x14ac:dyDescent="0.25">
      <c r="A28" s="9" t="s">
        <v>49</v>
      </c>
      <c r="B28" s="15" t="s">
        <v>50</v>
      </c>
      <c r="C28" s="10" t="s">
        <v>155</v>
      </c>
      <c r="D28" s="11">
        <v>30</v>
      </c>
      <c r="E28" s="12">
        <v>172727.29</v>
      </c>
      <c r="F28" s="13"/>
      <c r="G28" s="7">
        <v>172727</v>
      </c>
      <c r="H28" s="7">
        <v>17273</v>
      </c>
      <c r="I28" s="8">
        <f t="shared" si="0"/>
        <v>190000</v>
      </c>
      <c r="J28" s="7">
        <v>8500.0018999999993</v>
      </c>
      <c r="K28" s="7">
        <v>370</v>
      </c>
      <c r="L28" s="7">
        <v>181129.9981</v>
      </c>
      <c r="M28" s="7">
        <f>VLOOKUP(A28,[1]Summary!$A$3:$I$93,9,0)</f>
        <v>53186.364500000003</v>
      </c>
    </row>
    <row r="29" spans="1:13" x14ac:dyDescent="0.25">
      <c r="A29" s="9" t="s">
        <v>106</v>
      </c>
      <c r="B29" s="15" t="s">
        <v>107</v>
      </c>
      <c r="C29" s="10" t="s">
        <v>160</v>
      </c>
      <c r="D29" s="11">
        <v>30</v>
      </c>
      <c r="E29" s="12">
        <v>272727.3</v>
      </c>
      <c r="F29" s="13"/>
      <c r="G29" s="7">
        <v>272727</v>
      </c>
      <c r="H29" s="7">
        <v>27273</v>
      </c>
      <c r="I29" s="8">
        <f t="shared" si="0"/>
        <v>300000</v>
      </c>
      <c r="J29" s="7">
        <v>27848.491666666658</v>
      </c>
      <c r="K29" s="7">
        <v>370</v>
      </c>
      <c r="L29" s="7">
        <v>271781.50833333336</v>
      </c>
      <c r="M29" s="7">
        <f>VLOOKUP(A29,[1]Summary!$A$3:$I$93,9,0)</f>
        <v>94636.365000000005</v>
      </c>
    </row>
    <row r="30" spans="1:13" x14ac:dyDescent="0.25">
      <c r="A30" s="9" t="s">
        <v>45</v>
      </c>
      <c r="B30" s="15" t="s">
        <v>46</v>
      </c>
      <c r="C30" s="10" t="s">
        <v>161</v>
      </c>
      <c r="D30" s="11">
        <v>30</v>
      </c>
      <c r="E30" s="12">
        <v>227272.75000000003</v>
      </c>
      <c r="F30" s="13"/>
      <c r="G30" s="7">
        <v>227273.00000000003</v>
      </c>
      <c r="H30" s="7">
        <v>22727</v>
      </c>
      <c r="I30" s="8">
        <f t="shared" si="0"/>
        <v>250000.00000000003</v>
      </c>
      <c r="J30" s="7">
        <v>18454.550000000007</v>
      </c>
      <c r="K30" s="7">
        <v>370</v>
      </c>
      <c r="L30" s="7">
        <v>231175.45</v>
      </c>
      <c r="M30" s="7">
        <f>VLOOKUP(A30,[1]Summary!$A$3:$I$93,9,0)</f>
        <v>78863.637499999997</v>
      </c>
    </row>
    <row r="31" spans="1:13" x14ac:dyDescent="0.25">
      <c r="A31" s="9" t="s">
        <v>92</v>
      </c>
      <c r="B31" s="15" t="s">
        <v>93</v>
      </c>
      <c r="C31" s="10" t="s">
        <v>155</v>
      </c>
      <c r="D31" s="11">
        <v>30</v>
      </c>
      <c r="E31" s="12">
        <v>110977.28382499999</v>
      </c>
      <c r="F31" s="13"/>
      <c r="G31" s="7">
        <v>110977</v>
      </c>
      <c r="H31" s="7">
        <v>11098</v>
      </c>
      <c r="I31" s="8">
        <f t="shared" si="0"/>
        <v>122075</v>
      </c>
      <c r="J31" s="7">
        <v>1707.5012207499992</v>
      </c>
      <c r="K31" s="7">
        <v>370</v>
      </c>
      <c r="L31" s="7">
        <v>119997.49877925</v>
      </c>
      <c r="M31" s="7">
        <f>VLOOKUP(A31,[1]Summary!$A$3:$I$93,9,0)</f>
        <v>27522.364191249999</v>
      </c>
    </row>
    <row r="32" spans="1:13" ht="24" x14ac:dyDescent="0.25">
      <c r="A32" s="9" t="s">
        <v>65</v>
      </c>
      <c r="B32" s="15" t="s">
        <v>66</v>
      </c>
      <c r="C32" s="10" t="s">
        <v>162</v>
      </c>
      <c r="D32" s="11">
        <v>30</v>
      </c>
      <c r="E32" s="12">
        <v>310909.12199999997</v>
      </c>
      <c r="F32" s="13"/>
      <c r="G32" s="7">
        <v>310909</v>
      </c>
      <c r="H32" s="7">
        <v>31091</v>
      </c>
      <c r="I32" s="8">
        <f t="shared" si="0"/>
        <v>342000</v>
      </c>
      <c r="J32" s="7">
        <v>37393.947166666658</v>
      </c>
      <c r="K32" s="7">
        <v>370</v>
      </c>
      <c r="L32" s="7">
        <v>304236.05283333332</v>
      </c>
      <c r="M32" s="7">
        <f>VLOOKUP(A32,[1]Summary!$A$3:$I$93,9,0)</f>
        <v>0</v>
      </c>
    </row>
    <row r="33" spans="1:13" x14ac:dyDescent="0.25">
      <c r="A33" s="9" t="s">
        <v>11</v>
      </c>
      <c r="B33" s="15" t="s">
        <v>12</v>
      </c>
      <c r="C33" s="10" t="s">
        <v>155</v>
      </c>
      <c r="D33" s="11">
        <v>30</v>
      </c>
      <c r="E33" s="12">
        <v>110986.374735</v>
      </c>
      <c r="F33" s="13"/>
      <c r="G33" s="7">
        <v>110986</v>
      </c>
      <c r="H33" s="7">
        <v>11099</v>
      </c>
      <c r="I33" s="8">
        <f t="shared" si="0"/>
        <v>122085</v>
      </c>
      <c r="J33" s="7">
        <v>1708.50122085</v>
      </c>
      <c r="K33" s="7">
        <v>370</v>
      </c>
      <c r="L33" s="7">
        <v>120006.49877915</v>
      </c>
      <c r="M33" s="7">
        <f>VLOOKUP(A33,[1]Summary!$A$3:$I$93,9,0)</f>
        <v>33018.443736750007</v>
      </c>
    </row>
    <row r="34" spans="1:13" x14ac:dyDescent="0.25">
      <c r="A34" s="9" t="s">
        <v>118</v>
      </c>
      <c r="B34" s="15" t="s">
        <v>119</v>
      </c>
      <c r="C34" s="10" t="s">
        <v>155</v>
      </c>
      <c r="D34" s="11">
        <v>30</v>
      </c>
      <c r="E34" s="12">
        <v>110986.374735</v>
      </c>
      <c r="F34" s="13">
        <v>27568.591224018477</v>
      </c>
      <c r="G34" s="7">
        <v>138554.59122401848</v>
      </c>
      <c r="H34" s="7">
        <v>11099</v>
      </c>
      <c r="I34" s="8">
        <f t="shared" si="0"/>
        <v>177222.18244803697</v>
      </c>
      <c r="J34" s="7">
        <v>1961.2133070701693</v>
      </c>
      <c r="K34" s="7">
        <v>370</v>
      </c>
      <c r="L34" s="7">
        <v>147322.37791694832</v>
      </c>
      <c r="M34" s="7">
        <f>VLOOKUP(A34,[1]Summary!$A$3:$I$93,9,0)</f>
        <v>33018.443736750007</v>
      </c>
    </row>
    <row r="35" spans="1:13" x14ac:dyDescent="0.25">
      <c r="A35" s="9" t="s">
        <v>37</v>
      </c>
      <c r="B35" s="15" t="s">
        <v>38</v>
      </c>
      <c r="C35" s="10" t="s">
        <v>155</v>
      </c>
      <c r="D35" s="11">
        <v>30</v>
      </c>
      <c r="E35" s="12">
        <v>110986.374735</v>
      </c>
      <c r="F35" s="13"/>
      <c r="G35" s="7">
        <v>110986</v>
      </c>
      <c r="H35" s="7">
        <v>11099</v>
      </c>
      <c r="I35" s="8">
        <f t="shared" si="0"/>
        <v>122085</v>
      </c>
      <c r="J35" s="7">
        <v>1708.50122085</v>
      </c>
      <c r="K35" s="7">
        <v>370</v>
      </c>
      <c r="L35" s="7">
        <v>120006.49877915</v>
      </c>
      <c r="M35" s="7">
        <f>VLOOKUP(A35,[1]Summary!$A$3:$I$93,9,0)</f>
        <v>33018.443736750007</v>
      </c>
    </row>
    <row r="36" spans="1:13" x14ac:dyDescent="0.25">
      <c r="A36" s="9" t="s">
        <v>23</v>
      </c>
      <c r="B36" s="15" t="s">
        <v>24</v>
      </c>
      <c r="C36" s="10" t="s">
        <v>155</v>
      </c>
      <c r="D36" s="11">
        <v>30</v>
      </c>
      <c r="E36" s="12">
        <v>110986.374735</v>
      </c>
      <c r="F36" s="13"/>
      <c r="G36" s="7">
        <v>110986</v>
      </c>
      <c r="H36" s="7">
        <v>11099</v>
      </c>
      <c r="I36" s="8">
        <f t="shared" si="0"/>
        <v>122085</v>
      </c>
      <c r="J36" s="7">
        <v>1708.50122085</v>
      </c>
      <c r="K36" s="7">
        <v>370</v>
      </c>
      <c r="L36" s="7">
        <v>120006.49877915</v>
      </c>
      <c r="M36" s="7">
        <f>VLOOKUP(A36,[1]Summary!$A$3:$I$93,9,0)</f>
        <v>33018.443736750007</v>
      </c>
    </row>
    <row r="37" spans="1:13" x14ac:dyDescent="0.25">
      <c r="A37" s="9" t="s">
        <v>100</v>
      </c>
      <c r="B37" s="15" t="s">
        <v>101</v>
      </c>
      <c r="C37" s="10" t="s">
        <v>155</v>
      </c>
      <c r="D37" s="11">
        <v>30</v>
      </c>
      <c r="E37" s="12">
        <v>110977.28382499999</v>
      </c>
      <c r="F37" s="13"/>
      <c r="G37" s="7">
        <v>110977</v>
      </c>
      <c r="H37" s="7">
        <v>11098</v>
      </c>
      <c r="I37" s="8">
        <f t="shared" si="0"/>
        <v>122075</v>
      </c>
      <c r="J37" s="7">
        <v>1707.5012207499992</v>
      </c>
      <c r="K37" s="7">
        <v>370</v>
      </c>
      <c r="L37" s="7">
        <v>119997.49877925</v>
      </c>
      <c r="M37" s="7">
        <f>VLOOKUP(A37,[1]Summary!$A$3:$I$93,9,0)</f>
        <v>24592.56419125</v>
      </c>
    </row>
    <row r="38" spans="1:13" x14ac:dyDescent="0.25">
      <c r="A38" s="9" t="s">
        <v>43</v>
      </c>
      <c r="B38" s="15" t="s">
        <v>44</v>
      </c>
      <c r="C38" s="10" t="s">
        <v>155</v>
      </c>
      <c r="D38" s="11">
        <v>30</v>
      </c>
      <c r="E38" s="12">
        <v>136363.65</v>
      </c>
      <c r="F38" s="13"/>
      <c r="G38" s="7">
        <v>136364</v>
      </c>
      <c r="H38" s="7">
        <v>13636</v>
      </c>
      <c r="I38" s="8">
        <f t="shared" si="0"/>
        <v>150000</v>
      </c>
      <c r="J38" s="7">
        <v>4500.0014999999985</v>
      </c>
      <c r="K38" s="7">
        <v>370</v>
      </c>
      <c r="L38" s="7">
        <v>145129.99849999999</v>
      </c>
      <c r="M38" s="7">
        <f>VLOOKUP(A38,[1]Summary!$A$3:$I$93,9,0)</f>
        <v>13960.155000000001</v>
      </c>
    </row>
    <row r="39" spans="1:13" x14ac:dyDescent="0.25">
      <c r="A39" s="9" t="s">
        <v>74</v>
      </c>
      <c r="B39" s="15" t="s">
        <v>75</v>
      </c>
      <c r="C39" s="10" t="s">
        <v>163</v>
      </c>
      <c r="D39" s="11">
        <v>30</v>
      </c>
      <c r="E39" s="12">
        <v>136363.65</v>
      </c>
      <c r="F39" s="13"/>
      <c r="G39" s="7">
        <v>136364</v>
      </c>
      <c r="H39" s="7">
        <v>13636</v>
      </c>
      <c r="I39" s="8">
        <f t="shared" si="0"/>
        <v>150000</v>
      </c>
      <c r="J39" s="7">
        <v>4500.0014999999985</v>
      </c>
      <c r="K39" s="7">
        <v>370</v>
      </c>
      <c r="L39" s="7">
        <v>145129.99849999999</v>
      </c>
      <c r="M39" s="7">
        <f>VLOOKUP(A39,[1]Summary!$A$3:$I$93,9,0)</f>
        <v>6818.1824999999999</v>
      </c>
    </row>
    <row r="40" spans="1:13" x14ac:dyDescent="0.25">
      <c r="A40" s="9" t="s">
        <v>25</v>
      </c>
      <c r="B40" s="15" t="s">
        <v>26</v>
      </c>
      <c r="C40" s="10" t="s">
        <v>153</v>
      </c>
      <c r="D40" s="11">
        <v>30</v>
      </c>
      <c r="E40" s="12">
        <v>72727.28</v>
      </c>
      <c r="F40" s="13"/>
      <c r="G40" s="7">
        <v>72727</v>
      </c>
      <c r="H40" s="7">
        <v>7273</v>
      </c>
      <c r="I40" s="8">
        <f t="shared" si="0"/>
        <v>80000</v>
      </c>
      <c r="J40" s="7">
        <v>227.27279999999999</v>
      </c>
      <c r="K40" s="7">
        <v>370</v>
      </c>
      <c r="L40" s="7">
        <v>79402.727199999994</v>
      </c>
      <c r="M40" s="7">
        <f>VLOOKUP(A40,[1]Summary!$A$3:$I$93,9,0)</f>
        <v>9396.3639999999996</v>
      </c>
    </row>
    <row r="41" spans="1:13" x14ac:dyDescent="0.25">
      <c r="A41" s="9" t="s">
        <v>67</v>
      </c>
      <c r="B41" s="15" t="s">
        <v>137</v>
      </c>
      <c r="C41" s="10" t="s">
        <v>164</v>
      </c>
      <c r="D41" s="11">
        <v>30</v>
      </c>
      <c r="E41" s="12">
        <v>272727.3</v>
      </c>
      <c r="F41" s="13"/>
      <c r="G41" s="7">
        <v>272727</v>
      </c>
      <c r="H41" s="7">
        <v>27273</v>
      </c>
      <c r="I41" s="8">
        <f t="shared" si="0"/>
        <v>300000</v>
      </c>
      <c r="J41" s="7">
        <v>27848.491666666658</v>
      </c>
      <c r="K41" s="7">
        <v>370</v>
      </c>
      <c r="L41" s="7">
        <v>271781.50833333336</v>
      </c>
      <c r="M41" s="7">
        <f>VLOOKUP(A41,[1]Summary!$A$3:$I$93,9,0)</f>
        <v>36886.364999999998</v>
      </c>
    </row>
    <row r="42" spans="1:13" x14ac:dyDescent="0.25">
      <c r="A42" s="9" t="s">
        <v>9</v>
      </c>
      <c r="B42" s="15" t="s">
        <v>10</v>
      </c>
      <c r="C42" s="10" t="s">
        <v>151</v>
      </c>
      <c r="D42" s="11">
        <v>30</v>
      </c>
      <c r="E42" s="12">
        <v>207560.92984699999</v>
      </c>
      <c r="F42" s="13"/>
      <c r="G42" s="7">
        <v>207561</v>
      </c>
      <c r="H42" s="7">
        <v>20756</v>
      </c>
      <c r="I42" s="8">
        <f t="shared" si="0"/>
        <v>228317</v>
      </c>
      <c r="J42" s="7">
        <v>14512.185969400001</v>
      </c>
      <c r="K42" s="7">
        <v>370</v>
      </c>
      <c r="L42" s="7">
        <v>213434.81403060001</v>
      </c>
      <c r="M42" s="7">
        <f>VLOOKUP(A42,[1]Summary!$A$3:$I$93,9,0)</f>
        <v>26816.870492350001</v>
      </c>
    </row>
    <row r="43" spans="1:13" x14ac:dyDescent="0.25">
      <c r="A43" s="9" t="s">
        <v>84</v>
      </c>
      <c r="B43" s="15" t="s">
        <v>85</v>
      </c>
      <c r="C43" s="10" t="s">
        <v>155</v>
      </c>
      <c r="D43" s="11">
        <v>30</v>
      </c>
      <c r="E43" s="12">
        <v>150000.01499999998</v>
      </c>
      <c r="F43" s="13"/>
      <c r="G43" s="7">
        <v>150000</v>
      </c>
      <c r="H43" s="7">
        <v>15000</v>
      </c>
      <c r="I43" s="8">
        <f t="shared" si="0"/>
        <v>165000</v>
      </c>
      <c r="J43" s="7">
        <v>6000.0016499999974</v>
      </c>
      <c r="K43" s="7">
        <v>370</v>
      </c>
      <c r="L43" s="7">
        <v>158629.99835000001</v>
      </c>
      <c r="M43" s="7">
        <f>VLOOKUP(A43,[1]Summary!$A$3:$I$93,9,0)</f>
        <v>18221.295749999997</v>
      </c>
    </row>
    <row r="44" spans="1:13" x14ac:dyDescent="0.25">
      <c r="A44" s="9" t="s">
        <v>17</v>
      </c>
      <c r="B44" s="15" t="s">
        <v>18</v>
      </c>
      <c r="C44" s="10" t="s">
        <v>165</v>
      </c>
      <c r="D44" s="11">
        <v>30</v>
      </c>
      <c r="E44" s="12">
        <v>136363.65</v>
      </c>
      <c r="F44" s="13"/>
      <c r="G44" s="7">
        <v>136364</v>
      </c>
      <c r="H44" s="7">
        <v>13636</v>
      </c>
      <c r="I44" s="8">
        <f t="shared" si="0"/>
        <v>150000</v>
      </c>
      <c r="J44" s="7">
        <v>4500.0014999999985</v>
      </c>
      <c r="K44" s="7">
        <v>370</v>
      </c>
      <c r="L44" s="7">
        <v>145129.99849999999</v>
      </c>
      <c r="M44" s="7">
        <f>VLOOKUP(A44,[1]Summary!$A$3:$I$93,9,0)</f>
        <v>0</v>
      </c>
    </row>
    <row r="45" spans="1:13" x14ac:dyDescent="0.25">
      <c r="A45" s="9" t="s">
        <v>3</v>
      </c>
      <c r="B45" s="15" t="s">
        <v>4</v>
      </c>
      <c r="C45" s="10" t="s">
        <v>166</v>
      </c>
      <c r="D45" s="11">
        <v>30</v>
      </c>
      <c r="E45" s="12">
        <v>54545.46</v>
      </c>
      <c r="F45" s="13"/>
      <c r="G45" s="7">
        <v>54545</v>
      </c>
      <c r="H45" s="7">
        <v>5455</v>
      </c>
      <c r="I45" s="8">
        <f t="shared" si="0"/>
        <v>60000</v>
      </c>
      <c r="J45" s="7">
        <v>45.454600000000021</v>
      </c>
      <c r="K45" s="7">
        <v>370</v>
      </c>
      <c r="L45" s="7">
        <v>59584.545400000003</v>
      </c>
      <c r="M45" s="7">
        <f>VLOOKUP(A45,[1]Summary!$A$3:$I$93,9,0)</f>
        <v>0</v>
      </c>
    </row>
    <row r="46" spans="1:13" x14ac:dyDescent="0.25">
      <c r="A46" s="9" t="s">
        <v>94</v>
      </c>
      <c r="B46" s="15" t="s">
        <v>95</v>
      </c>
      <c r="C46" s="10" t="s">
        <v>167</v>
      </c>
      <c r="D46" s="11">
        <v>30</v>
      </c>
      <c r="E46" s="12">
        <v>168181.83499999999</v>
      </c>
      <c r="F46" s="13"/>
      <c r="G46" s="7">
        <v>168182</v>
      </c>
      <c r="H46" s="7">
        <v>16818</v>
      </c>
      <c r="I46" s="8">
        <f t="shared" si="0"/>
        <v>185000</v>
      </c>
      <c r="J46" s="7">
        <v>8000.0018500000006</v>
      </c>
      <c r="K46" s="7">
        <v>370</v>
      </c>
      <c r="L46" s="7">
        <v>176629.99815</v>
      </c>
      <c r="M46" s="7">
        <f>VLOOKUP(A46,[1]Summary!$A$3:$I$93,9,0)</f>
        <v>16456.59175</v>
      </c>
    </row>
    <row r="47" spans="1:13" x14ac:dyDescent="0.25">
      <c r="A47" s="9" t="s">
        <v>70</v>
      </c>
      <c r="B47" s="15" t="s">
        <v>71</v>
      </c>
      <c r="C47" s="10" t="s">
        <v>167</v>
      </c>
      <c r="D47" s="11">
        <v>30</v>
      </c>
      <c r="E47" s="12">
        <v>168181.83499999999</v>
      </c>
      <c r="F47" s="13">
        <v>15191.172696946369</v>
      </c>
      <c r="G47" s="7">
        <v>183373.17269694636</v>
      </c>
      <c r="H47" s="7">
        <v>16818</v>
      </c>
      <c r="I47" s="8">
        <f t="shared" si="0"/>
        <v>215382.34539389273</v>
      </c>
      <c r="J47" s="7">
        <v>8139.2542663886752</v>
      </c>
      <c r="K47" s="7">
        <v>370</v>
      </c>
      <c r="L47" s="7">
        <v>191681.91843055768</v>
      </c>
      <c r="M47" s="7">
        <f>VLOOKUP(A47,[1]Summary!$A$3:$I$93,9,0)</f>
        <v>16456.59175</v>
      </c>
    </row>
    <row r="48" spans="1:13" x14ac:dyDescent="0.25">
      <c r="A48" s="9" t="s">
        <v>47</v>
      </c>
      <c r="B48" s="9" t="s">
        <v>48</v>
      </c>
      <c r="C48" s="10" t="s">
        <v>168</v>
      </c>
      <c r="D48" s="11">
        <v>30</v>
      </c>
      <c r="E48" s="12">
        <v>90909.099999999991</v>
      </c>
      <c r="F48" s="13"/>
      <c r="G48" s="7">
        <v>90909</v>
      </c>
      <c r="H48" s="7">
        <v>9091</v>
      </c>
      <c r="I48" s="8">
        <f t="shared" si="0"/>
        <v>100000</v>
      </c>
      <c r="J48" s="7">
        <v>409.09099999999995</v>
      </c>
      <c r="K48" s="7">
        <v>370</v>
      </c>
      <c r="L48" s="7">
        <v>99220.909</v>
      </c>
      <c r="M48" s="7">
        <f>VLOOKUP(A48,[1]Summary!$A$3:$I$93,9,0)</f>
        <v>4545.4549999999999</v>
      </c>
    </row>
    <row r="49" spans="1:13" x14ac:dyDescent="0.25">
      <c r="A49" s="9" t="s">
        <v>86</v>
      </c>
      <c r="B49" s="9" t="s">
        <v>87</v>
      </c>
      <c r="C49" s="18" t="s">
        <v>169</v>
      </c>
      <c r="D49" s="11">
        <v>30</v>
      </c>
      <c r="E49" s="12">
        <v>204545.47500000001</v>
      </c>
      <c r="F49" s="13"/>
      <c r="G49" s="7">
        <v>204545</v>
      </c>
      <c r="H49" s="7">
        <v>20455</v>
      </c>
      <c r="I49" s="8">
        <f t="shared" si="0"/>
        <v>225000</v>
      </c>
      <c r="J49" s="7">
        <v>13909.095000000003</v>
      </c>
      <c r="K49" s="7">
        <v>370</v>
      </c>
      <c r="L49" s="7">
        <v>210720.905</v>
      </c>
      <c r="M49" s="7">
        <f>VLOOKUP(A49,[1]Summary!$A$3:$I$93,9,0)</f>
        <v>10227.27375</v>
      </c>
    </row>
    <row r="50" spans="1:13" x14ac:dyDescent="0.25">
      <c r="A50" s="9" t="s">
        <v>5</v>
      </c>
      <c r="B50" s="9" t="s">
        <v>6</v>
      </c>
      <c r="C50" s="18" t="s">
        <v>163</v>
      </c>
      <c r="D50" s="11">
        <v>30</v>
      </c>
      <c r="E50" s="12">
        <v>150000.01499999998</v>
      </c>
      <c r="F50" s="13"/>
      <c r="G50" s="7">
        <v>150000</v>
      </c>
      <c r="H50" s="7">
        <v>15000</v>
      </c>
      <c r="I50" s="8">
        <f t="shared" si="0"/>
        <v>165000</v>
      </c>
      <c r="J50" s="7">
        <v>6000.0016499999974</v>
      </c>
      <c r="K50" s="7">
        <v>370</v>
      </c>
      <c r="L50" s="7">
        <v>158629.99835000001</v>
      </c>
      <c r="M50" s="7">
        <f>VLOOKUP(A50,[1]Summary!$A$3:$I$93,9,0)</f>
        <v>7500.0007499999992</v>
      </c>
    </row>
    <row r="51" spans="1:13" x14ac:dyDescent="0.25">
      <c r="A51" s="9" t="s">
        <v>110</v>
      </c>
      <c r="B51" s="9" t="s">
        <v>111</v>
      </c>
      <c r="C51" s="18" t="s">
        <v>167</v>
      </c>
      <c r="D51" s="11">
        <v>30</v>
      </c>
      <c r="E51" s="12">
        <v>227272.75000000003</v>
      </c>
      <c r="F51" s="13"/>
      <c r="G51" s="7">
        <v>227273.00000000003</v>
      </c>
      <c r="H51" s="7">
        <v>22727</v>
      </c>
      <c r="I51" s="8">
        <f t="shared" si="0"/>
        <v>250000.00000000003</v>
      </c>
      <c r="J51" s="7">
        <v>18454.550000000007</v>
      </c>
      <c r="K51" s="7">
        <v>370</v>
      </c>
      <c r="L51" s="7">
        <v>231175.45</v>
      </c>
      <c r="M51" s="7">
        <f>VLOOKUP(A51,[1]Summary!$A$3:$I$93,9,0)</f>
        <v>11363.637500000003</v>
      </c>
    </row>
    <row r="52" spans="1:13" x14ac:dyDescent="0.25">
      <c r="A52" s="9" t="s">
        <v>72</v>
      </c>
      <c r="B52" s="9" t="s">
        <v>73</v>
      </c>
      <c r="C52" s="18" t="s">
        <v>170</v>
      </c>
      <c r="D52" s="11">
        <v>30</v>
      </c>
      <c r="E52" s="12">
        <v>150000.01499999998</v>
      </c>
      <c r="F52" s="13"/>
      <c r="G52" s="7">
        <v>150000</v>
      </c>
      <c r="H52" s="7">
        <v>15000</v>
      </c>
      <c r="I52" s="8">
        <f t="shared" si="0"/>
        <v>165000</v>
      </c>
      <c r="J52" s="7">
        <v>6000.0016499999974</v>
      </c>
      <c r="K52" s="7">
        <v>370</v>
      </c>
      <c r="L52" s="7">
        <v>158629.99835000001</v>
      </c>
      <c r="M52" s="7">
        <f>VLOOKUP(A52,[1]Summary!$A$3:$I$93,9,0)</f>
        <v>7500.0007499999992</v>
      </c>
    </row>
    <row r="53" spans="1:13" x14ac:dyDescent="0.25">
      <c r="A53" s="9" t="s">
        <v>114</v>
      </c>
      <c r="B53" s="9" t="s">
        <v>115</v>
      </c>
      <c r="C53" s="18" t="s">
        <v>157</v>
      </c>
      <c r="D53" s="11">
        <v>30</v>
      </c>
      <c r="E53" s="12">
        <v>110909.102</v>
      </c>
      <c r="F53" s="13"/>
      <c r="G53" s="7">
        <v>110909</v>
      </c>
      <c r="H53" s="7">
        <v>11091</v>
      </c>
      <c r="I53" s="8">
        <f t="shared" si="0"/>
        <v>122000</v>
      </c>
      <c r="J53" s="7">
        <v>1700.0012199999994</v>
      </c>
      <c r="K53" s="7">
        <v>370</v>
      </c>
      <c r="L53" s="7">
        <v>119929.99877999999</v>
      </c>
      <c r="M53" s="7">
        <f>VLOOKUP(A53,[1]Summary!$A$3:$I$93,9,0)</f>
        <v>3142.4245566666664</v>
      </c>
    </row>
    <row r="54" spans="1:13" x14ac:dyDescent="0.25">
      <c r="A54" s="9" t="s">
        <v>108</v>
      </c>
      <c r="B54" s="9" t="s">
        <v>109</v>
      </c>
      <c r="C54" s="18" t="s">
        <v>171</v>
      </c>
      <c r="D54" s="19">
        <v>30</v>
      </c>
      <c r="E54" s="12">
        <v>54545.46</v>
      </c>
      <c r="F54" s="13"/>
      <c r="G54" s="7">
        <v>54545</v>
      </c>
      <c r="H54" s="7">
        <v>5455</v>
      </c>
      <c r="I54" s="8">
        <f t="shared" si="0"/>
        <v>60000</v>
      </c>
      <c r="J54" s="7">
        <v>45.454600000000021</v>
      </c>
      <c r="K54" s="7">
        <v>370</v>
      </c>
      <c r="L54" s="7">
        <v>59584.545400000003</v>
      </c>
      <c r="M54" s="7">
        <f>VLOOKUP(A54,[1]Summary!$A$3:$I$93,9,0)</f>
        <v>0</v>
      </c>
    </row>
    <row r="55" spans="1:13" x14ac:dyDescent="0.25">
      <c r="A55" s="9" t="s">
        <v>96</v>
      </c>
      <c r="B55" s="9" t="s">
        <v>97</v>
      </c>
      <c r="C55" s="18" t="s">
        <v>171</v>
      </c>
      <c r="D55" s="19">
        <v>30</v>
      </c>
      <c r="E55" s="12">
        <v>54545.46</v>
      </c>
      <c r="F55" s="13"/>
      <c r="G55" s="7">
        <v>54545</v>
      </c>
      <c r="H55" s="7">
        <v>5455</v>
      </c>
      <c r="I55" s="8">
        <f t="shared" si="0"/>
        <v>60000</v>
      </c>
      <c r="J55" s="7">
        <v>45.454600000000021</v>
      </c>
      <c r="K55" s="7">
        <v>370</v>
      </c>
      <c r="L55" s="7">
        <v>59584.545400000003</v>
      </c>
      <c r="M55" s="7">
        <f>VLOOKUP(A55,[1]Summary!$A$3:$I$93,9,0)</f>
        <v>0</v>
      </c>
    </row>
    <row r="56" spans="1:13" x14ac:dyDescent="0.25">
      <c r="A56" s="9" t="s">
        <v>59</v>
      </c>
      <c r="B56" s="9" t="s">
        <v>60</v>
      </c>
      <c r="C56" s="18" t="s">
        <v>171</v>
      </c>
      <c r="D56" s="19">
        <v>30</v>
      </c>
      <c r="E56" s="12">
        <v>54545.46</v>
      </c>
      <c r="F56" s="13"/>
      <c r="G56" s="7">
        <v>54545</v>
      </c>
      <c r="H56" s="7">
        <v>5455</v>
      </c>
      <c r="I56" s="8">
        <f t="shared" si="0"/>
        <v>60000</v>
      </c>
      <c r="J56" s="7">
        <v>45.454600000000021</v>
      </c>
      <c r="K56" s="7">
        <v>370</v>
      </c>
      <c r="L56" s="7">
        <v>59584.545400000003</v>
      </c>
      <c r="M56" s="7">
        <f>VLOOKUP(A56,[1]Summary!$A$3:$I$93,9,0)</f>
        <v>0</v>
      </c>
    </row>
    <row r="57" spans="1:13" x14ac:dyDescent="0.25">
      <c r="A57" s="9" t="s">
        <v>90</v>
      </c>
      <c r="B57" s="9" t="s">
        <v>91</v>
      </c>
      <c r="C57" s="18" t="s">
        <v>171</v>
      </c>
      <c r="D57" s="19">
        <v>30</v>
      </c>
      <c r="E57" s="12">
        <v>54545.46</v>
      </c>
      <c r="F57" s="13"/>
      <c r="G57" s="7">
        <v>54545</v>
      </c>
      <c r="H57" s="7">
        <v>5455</v>
      </c>
      <c r="I57" s="8">
        <f t="shared" si="0"/>
        <v>60000</v>
      </c>
      <c r="J57" s="7">
        <v>45.454600000000021</v>
      </c>
      <c r="K57" s="7">
        <v>370</v>
      </c>
      <c r="L57" s="7">
        <v>59584.545400000003</v>
      </c>
      <c r="M57" s="7">
        <f>VLOOKUP(A57,[1]Summary!$A$3:$I$93,9,0)</f>
        <v>0</v>
      </c>
    </row>
    <row r="58" spans="1:13" x14ac:dyDescent="0.25">
      <c r="A58" s="9" t="s">
        <v>120</v>
      </c>
      <c r="B58" s="9" t="s">
        <v>121</v>
      </c>
      <c r="C58" s="18" t="s">
        <v>172</v>
      </c>
      <c r="D58" s="19">
        <v>30</v>
      </c>
      <c r="E58" s="12">
        <v>113636.37500000001</v>
      </c>
      <c r="F58" s="13"/>
      <c r="G58" s="7">
        <v>113636.00000000001</v>
      </c>
      <c r="H58" s="7">
        <v>11364</v>
      </c>
      <c r="I58" s="8">
        <f t="shared" si="0"/>
        <v>125000.00000000001</v>
      </c>
      <c r="J58" s="7">
        <v>2000.0012500000021</v>
      </c>
      <c r="K58" s="7">
        <v>370</v>
      </c>
      <c r="L58" s="7">
        <v>122629.99875000001</v>
      </c>
      <c r="M58" s="7">
        <v>0</v>
      </c>
    </row>
    <row r="59" spans="1:13" x14ac:dyDescent="0.25">
      <c r="A59" s="9" t="s">
        <v>80</v>
      </c>
      <c r="B59" s="9" t="s">
        <v>81</v>
      </c>
      <c r="C59" s="18" t="s">
        <v>155</v>
      </c>
      <c r="D59" s="19">
        <v>30</v>
      </c>
      <c r="E59" s="12">
        <v>110909.102</v>
      </c>
      <c r="F59" s="13"/>
      <c r="G59" s="7">
        <v>110909</v>
      </c>
      <c r="H59" s="7">
        <v>11091</v>
      </c>
      <c r="I59" s="8">
        <f t="shared" si="0"/>
        <v>122000</v>
      </c>
      <c r="J59" s="7">
        <v>1700.0012199999994</v>
      </c>
      <c r="K59" s="7">
        <v>370</v>
      </c>
      <c r="L59" s="7">
        <v>119929.99877999999</v>
      </c>
      <c r="M59" s="7">
        <f>VLOOKUP(A59,[1]Summary!$A$3:$I$93,9,0)</f>
        <v>0</v>
      </c>
    </row>
    <row r="60" spans="1:13" x14ac:dyDescent="0.25">
      <c r="A60" s="9" t="s">
        <v>51</v>
      </c>
      <c r="B60" s="9" t="s">
        <v>52</v>
      </c>
      <c r="C60" s="18" t="s">
        <v>173</v>
      </c>
      <c r="D60" s="19">
        <v>30</v>
      </c>
      <c r="E60" s="12">
        <v>250000.02499999999</v>
      </c>
      <c r="F60" s="13"/>
      <c r="G60" s="7">
        <v>250000</v>
      </c>
      <c r="H60" s="7">
        <v>25000</v>
      </c>
      <c r="I60" s="8">
        <f t="shared" si="0"/>
        <v>275000</v>
      </c>
      <c r="J60" s="7">
        <v>23000.004999999994</v>
      </c>
      <c r="K60" s="7">
        <v>370</v>
      </c>
      <c r="L60" s="7">
        <v>251629.995</v>
      </c>
      <c r="M60" s="7">
        <f>VLOOKUP(A60,[1]Summary!$A$3:$I$93,9,0)</f>
        <v>24875.001250000001</v>
      </c>
    </row>
    <row r="61" spans="1:13" x14ac:dyDescent="0.25">
      <c r="A61" s="9" t="s">
        <v>104</v>
      </c>
      <c r="B61" s="9" t="s">
        <v>105</v>
      </c>
      <c r="C61" s="18" t="s">
        <v>171</v>
      </c>
      <c r="D61" s="19">
        <v>30</v>
      </c>
      <c r="E61" s="12">
        <v>54545.46</v>
      </c>
      <c r="F61" s="13"/>
      <c r="G61" s="7">
        <v>54545</v>
      </c>
      <c r="H61" s="7">
        <v>5455</v>
      </c>
      <c r="I61" s="8">
        <f t="shared" si="0"/>
        <v>60000</v>
      </c>
      <c r="J61" s="7">
        <v>45.454600000000021</v>
      </c>
      <c r="K61" s="7">
        <v>370</v>
      </c>
      <c r="L61" s="7">
        <v>59584.545400000003</v>
      </c>
      <c r="M61" s="7">
        <f>VLOOKUP(A61,[1]Summary!$A$3:$I$93,9,0)</f>
        <v>0</v>
      </c>
    </row>
    <row r="62" spans="1:13" x14ac:dyDescent="0.25">
      <c r="A62" s="9" t="s">
        <v>88</v>
      </c>
      <c r="B62" s="9" t="s">
        <v>89</v>
      </c>
      <c r="C62" s="18" t="s">
        <v>171</v>
      </c>
      <c r="D62" s="19">
        <v>30</v>
      </c>
      <c r="E62" s="12">
        <v>54545.46</v>
      </c>
      <c r="F62" s="13"/>
      <c r="G62" s="7">
        <v>54545</v>
      </c>
      <c r="H62" s="7">
        <v>5455</v>
      </c>
      <c r="I62" s="8">
        <f t="shared" si="0"/>
        <v>60000</v>
      </c>
      <c r="J62" s="7">
        <v>45.454600000000021</v>
      </c>
      <c r="K62" s="7">
        <v>370</v>
      </c>
      <c r="L62" s="7">
        <v>59584.545400000003</v>
      </c>
      <c r="M62" s="7">
        <f>VLOOKUP(A62,[1]Summary!$A$3:$I$93,9,0)</f>
        <v>0</v>
      </c>
    </row>
    <row r="63" spans="1:13" x14ac:dyDescent="0.25">
      <c r="A63" s="9" t="s">
        <v>15</v>
      </c>
      <c r="B63" s="9" t="s">
        <v>16</v>
      </c>
      <c r="C63" s="18" t="s">
        <v>171</v>
      </c>
      <c r="D63" s="19">
        <v>30</v>
      </c>
      <c r="E63" s="12">
        <v>54545.46</v>
      </c>
      <c r="F63" s="13"/>
      <c r="G63" s="7">
        <v>54545</v>
      </c>
      <c r="H63" s="7">
        <v>5455</v>
      </c>
      <c r="I63" s="8">
        <f t="shared" si="0"/>
        <v>60000</v>
      </c>
      <c r="J63" s="7">
        <v>45.454600000000021</v>
      </c>
      <c r="K63" s="7">
        <v>370</v>
      </c>
      <c r="L63" s="7">
        <v>59584.545400000003</v>
      </c>
      <c r="M63" s="7">
        <f>VLOOKUP(A63,[1]Summary!$A$3:$I$93,9,0)</f>
        <v>0</v>
      </c>
    </row>
    <row r="64" spans="1:13" x14ac:dyDescent="0.25">
      <c r="A64" s="9" t="s">
        <v>102</v>
      </c>
      <c r="B64" s="9" t="s">
        <v>103</v>
      </c>
      <c r="C64" s="18" t="s">
        <v>174</v>
      </c>
      <c r="D64" s="19">
        <v>30</v>
      </c>
      <c r="E64" s="12">
        <v>136363.65</v>
      </c>
      <c r="F64" s="13"/>
      <c r="G64" s="7">
        <v>136364</v>
      </c>
      <c r="H64" s="7">
        <v>13636</v>
      </c>
      <c r="I64" s="8">
        <f t="shared" si="0"/>
        <v>150000</v>
      </c>
      <c r="J64" s="7">
        <v>4500.0014999999985</v>
      </c>
      <c r="K64" s="7">
        <v>370</v>
      </c>
      <c r="L64" s="7">
        <v>145129.99849999999</v>
      </c>
      <c r="M64" s="7">
        <f>VLOOKUP(A64,[1]Summary!$A$3:$I$93,9,0)</f>
        <v>0</v>
      </c>
    </row>
    <row r="65" spans="1:13" x14ac:dyDescent="0.25">
      <c r="A65" s="9" t="s">
        <v>128</v>
      </c>
      <c r="B65" s="9" t="s">
        <v>129</v>
      </c>
      <c r="C65" s="18" t="s">
        <v>171</v>
      </c>
      <c r="D65" s="19">
        <v>30</v>
      </c>
      <c r="E65" s="12">
        <v>54545.46</v>
      </c>
      <c r="F65" s="13"/>
      <c r="G65" s="7">
        <v>54545</v>
      </c>
      <c r="H65" s="7">
        <v>5455</v>
      </c>
      <c r="I65" s="8">
        <f t="shared" si="0"/>
        <v>60000</v>
      </c>
      <c r="J65" s="7">
        <v>45.454600000000021</v>
      </c>
      <c r="K65" s="7">
        <v>370</v>
      </c>
      <c r="L65" s="7">
        <v>59584.545400000003</v>
      </c>
      <c r="M65" s="7">
        <f>VLOOKUP(A65,[1]Summary!$A$3:$I$93,9,0)</f>
        <v>0</v>
      </c>
    </row>
    <row r="66" spans="1:13" x14ac:dyDescent="0.25">
      <c r="A66" s="9" t="s">
        <v>41</v>
      </c>
      <c r="B66" s="9" t="s">
        <v>42</v>
      </c>
      <c r="C66" s="18" t="s">
        <v>171</v>
      </c>
      <c r="D66" s="19">
        <v>30</v>
      </c>
      <c r="E66" s="12">
        <v>54545.46</v>
      </c>
      <c r="F66" s="13"/>
      <c r="G66" s="7">
        <v>54545</v>
      </c>
      <c r="H66" s="7">
        <v>5455</v>
      </c>
      <c r="I66" s="8">
        <f t="shared" si="0"/>
        <v>60000</v>
      </c>
      <c r="J66" s="7">
        <v>45.454600000000021</v>
      </c>
      <c r="K66" s="7">
        <v>370</v>
      </c>
      <c r="L66" s="7">
        <v>59584.545400000003</v>
      </c>
      <c r="M66" s="7">
        <f>VLOOKUP(A66,[1]Summary!$A$3:$I$93,9,0)</f>
        <v>0</v>
      </c>
    </row>
    <row r="67" spans="1:13" s="27" customFormat="1" x14ac:dyDescent="0.25">
      <c r="A67" s="20" t="s">
        <v>132</v>
      </c>
      <c r="B67" s="20" t="s">
        <v>138</v>
      </c>
      <c r="C67" s="21" t="s">
        <v>171</v>
      </c>
      <c r="D67" s="22">
        <v>30</v>
      </c>
      <c r="E67" s="23">
        <v>54545.46</v>
      </c>
      <c r="F67" s="24"/>
      <c r="G67" s="25">
        <v>54545</v>
      </c>
      <c r="H67" s="25">
        <v>5455</v>
      </c>
      <c r="I67" s="26">
        <f t="shared" ref="I67:I71" si="1">+F67+G67+H67</f>
        <v>60000</v>
      </c>
      <c r="J67" s="25">
        <v>45.454600000000021</v>
      </c>
      <c r="K67" s="25">
        <v>370</v>
      </c>
      <c r="L67" s="25">
        <v>59584.545400000003</v>
      </c>
      <c r="M67" s="25">
        <f>VLOOKUP(A67,[1]Summary!$A$3:$I$93,9,0)</f>
        <v>0</v>
      </c>
    </row>
    <row r="68" spans="1:13" s="27" customFormat="1" x14ac:dyDescent="0.25">
      <c r="A68" s="20" t="s">
        <v>133</v>
      </c>
      <c r="B68" s="20" t="s">
        <v>139</v>
      </c>
      <c r="C68" s="21" t="s">
        <v>155</v>
      </c>
      <c r="D68" s="22">
        <v>16</v>
      </c>
      <c r="E68" s="23">
        <v>60606.066666666702</v>
      </c>
      <c r="F68" s="24"/>
      <c r="G68" s="25">
        <v>60605.666666666672</v>
      </c>
      <c r="H68" s="25">
        <v>6061</v>
      </c>
      <c r="I68" s="26">
        <f t="shared" si="1"/>
        <v>66666.666666666672</v>
      </c>
      <c r="J68" s="25">
        <v>106.06066666666671</v>
      </c>
      <c r="K68" s="25">
        <v>370</v>
      </c>
      <c r="L68" s="25">
        <v>66190.606</v>
      </c>
      <c r="M68" s="25">
        <f>VLOOKUP(A68,[1]Summary!$A$3:$I$93,9,0)</f>
        <v>0</v>
      </c>
    </row>
    <row r="69" spans="1:13" s="27" customFormat="1" x14ac:dyDescent="0.25">
      <c r="A69" s="20" t="s">
        <v>134</v>
      </c>
      <c r="B69" s="20" t="s">
        <v>140</v>
      </c>
      <c r="C69" s="21" t="s">
        <v>151</v>
      </c>
      <c r="D69" s="22">
        <v>16</v>
      </c>
      <c r="E69" s="23">
        <v>96969.706666666694</v>
      </c>
      <c r="F69" s="24"/>
      <c r="G69" s="25">
        <v>96969.666666666672</v>
      </c>
      <c r="H69" s="25">
        <v>9697</v>
      </c>
      <c r="I69" s="26">
        <f t="shared" si="1"/>
        <v>106666.66666666667</v>
      </c>
      <c r="J69" s="25">
        <v>469.69706666666667</v>
      </c>
      <c r="K69" s="25">
        <v>370</v>
      </c>
      <c r="L69" s="25">
        <v>105826.96960000001</v>
      </c>
      <c r="M69" s="25">
        <f>VLOOKUP(A69,[1]Summary!$A$3:$I$93,9,0)</f>
        <v>0</v>
      </c>
    </row>
    <row r="70" spans="1:13" s="27" customFormat="1" x14ac:dyDescent="0.25">
      <c r="A70" s="20" t="s">
        <v>135</v>
      </c>
      <c r="B70" s="20" t="s">
        <v>141</v>
      </c>
      <c r="C70" s="21" t="s">
        <v>175</v>
      </c>
      <c r="D70" s="22">
        <v>11</v>
      </c>
      <c r="E70" s="23">
        <v>20000.002</v>
      </c>
      <c r="F70" s="24"/>
      <c r="G70" s="28">
        <v>20000</v>
      </c>
      <c r="H70" s="28">
        <v>2000</v>
      </c>
      <c r="I70" s="26">
        <f t="shared" si="1"/>
        <v>22000</v>
      </c>
      <c r="J70" s="28">
        <v>0</v>
      </c>
      <c r="K70" s="28">
        <v>370</v>
      </c>
      <c r="L70" s="28">
        <v>21630</v>
      </c>
      <c r="M70" s="25">
        <f>VLOOKUP(A70,[1]Summary!$A$3:$I$93,9,0)</f>
        <v>0</v>
      </c>
    </row>
    <row r="71" spans="1:13" s="27" customFormat="1" ht="15.75" thickBot="1" x14ac:dyDescent="0.3">
      <c r="A71" s="29" t="s">
        <v>136</v>
      </c>
      <c r="B71" s="29" t="s">
        <v>142</v>
      </c>
      <c r="C71" s="30" t="s">
        <v>171</v>
      </c>
      <c r="D71" s="31">
        <v>11</v>
      </c>
      <c r="E71" s="32">
        <v>20000.002</v>
      </c>
      <c r="F71" s="33"/>
      <c r="G71" s="28">
        <v>20000</v>
      </c>
      <c r="H71" s="28">
        <v>2000</v>
      </c>
      <c r="I71" s="26">
        <f t="shared" si="1"/>
        <v>22000</v>
      </c>
      <c r="J71" s="28">
        <v>0</v>
      </c>
      <c r="K71" s="28">
        <v>370</v>
      </c>
      <c r="L71" s="28">
        <v>21630</v>
      </c>
      <c r="M71" s="25">
        <f>VLOOKUP(A71,[1]Summary!$A$3:$I$93,9,0)</f>
        <v>0</v>
      </c>
    </row>
  </sheetData>
  <conditionalFormatting sqref="B39">
    <cfRule type="duplicateValues" dxfId="3" priority="2"/>
  </conditionalFormatting>
  <conditionalFormatting sqref="B41">
    <cfRule type="duplicateValues" dxfId="2" priority="1"/>
  </conditionalFormatting>
  <conditionalFormatting sqref="B42:B59 B2:B38 B40">
    <cfRule type="duplicateValues" dxfId="1" priority="3"/>
  </conditionalFormatting>
  <conditionalFormatting sqref="B60:B71">
    <cfRule type="duplicateValues" dxfId="0" priority="4"/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AQIB RANDHAWA</cp:lastModifiedBy>
  <dcterms:created xsi:type="dcterms:W3CDTF">2026-07-30T05:30:07Z</dcterms:created>
  <dcterms:modified xsi:type="dcterms:W3CDTF">2026-07-30T13:02:21Z</dcterms:modified>
</cp:coreProperties>
</file>