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8346CE5F-4C00-43A6-B5EB-3752B3DE91C8}" xr6:coauthVersionLast="47" xr6:coauthVersionMax="47" xr10:uidLastSave="{00000000-0000-0000-0000-000000000000}"/>
  <bookViews>
    <workbookView xWindow="-120" yWindow="-120" windowWidth="20730" windowHeight="11040" xr2:uid="{4FFB1083-8A9C-4D9C-9148-40D7D2D45FC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1" l="1"/>
  <c r="G68" i="1"/>
  <c r="F68" i="1"/>
  <c r="E68" i="1"/>
  <c r="I68" i="1" s="1"/>
  <c r="G67" i="1"/>
  <c r="F67" i="1"/>
  <c r="E67" i="1"/>
  <c r="I67" i="1" s="1"/>
  <c r="G66" i="1"/>
  <c r="F66" i="1"/>
  <c r="E66" i="1"/>
  <c r="I66" i="1" s="1"/>
  <c r="G65" i="1"/>
  <c r="F65" i="1"/>
  <c r="E65" i="1"/>
  <c r="I65" i="1" s="1"/>
  <c r="G64" i="1"/>
  <c r="F64" i="1"/>
  <c r="E64" i="1"/>
  <c r="I64" i="1" s="1"/>
  <c r="G63" i="1"/>
  <c r="F63" i="1"/>
  <c r="E63" i="1"/>
  <c r="I63" i="1" s="1"/>
  <c r="G62" i="1"/>
  <c r="F62" i="1"/>
  <c r="E62" i="1"/>
  <c r="I62" i="1" s="1"/>
  <c r="G61" i="1"/>
  <c r="F61" i="1"/>
  <c r="E61" i="1"/>
  <c r="I61" i="1" s="1"/>
  <c r="G60" i="1"/>
  <c r="F60" i="1"/>
  <c r="E60" i="1"/>
  <c r="I60" i="1" s="1"/>
  <c r="G59" i="1"/>
  <c r="F59" i="1"/>
  <c r="E59" i="1"/>
  <c r="I59" i="1" s="1"/>
  <c r="E58" i="1"/>
  <c r="I58" i="1" s="1"/>
  <c r="G57" i="1"/>
  <c r="F57" i="1"/>
  <c r="E57" i="1"/>
  <c r="I57" i="1" s="1"/>
  <c r="G56" i="1"/>
  <c r="F56" i="1"/>
  <c r="E56" i="1"/>
  <c r="I56" i="1" s="1"/>
  <c r="G55" i="1"/>
  <c r="F55" i="1"/>
  <c r="E55" i="1"/>
  <c r="I55" i="1" s="1"/>
  <c r="G54" i="1"/>
  <c r="F54" i="1"/>
  <c r="E54" i="1"/>
  <c r="I54" i="1" s="1"/>
  <c r="G53" i="1"/>
  <c r="F53" i="1"/>
  <c r="E53" i="1"/>
  <c r="I53" i="1" s="1"/>
  <c r="G52" i="1"/>
  <c r="F52" i="1"/>
  <c r="E52" i="1"/>
  <c r="I52" i="1" s="1"/>
  <c r="G51" i="1"/>
  <c r="F51" i="1"/>
  <c r="E51" i="1"/>
  <c r="I51" i="1" s="1"/>
  <c r="G50" i="1"/>
  <c r="F50" i="1"/>
  <c r="E50" i="1"/>
  <c r="I50" i="1" s="1"/>
  <c r="G49" i="1"/>
  <c r="F49" i="1"/>
  <c r="E49" i="1"/>
  <c r="I49" i="1" s="1"/>
  <c r="G48" i="1"/>
  <c r="F48" i="1"/>
  <c r="E48" i="1"/>
  <c r="I48" i="1" s="1"/>
  <c r="G47" i="1"/>
  <c r="F47" i="1"/>
  <c r="E47" i="1"/>
  <c r="I47" i="1" s="1"/>
  <c r="G46" i="1"/>
  <c r="F46" i="1"/>
  <c r="E46" i="1"/>
  <c r="I46" i="1" s="1"/>
  <c r="G45" i="1"/>
  <c r="F45" i="1"/>
  <c r="E45" i="1"/>
  <c r="I45" i="1" s="1"/>
  <c r="G44" i="1"/>
  <c r="F44" i="1"/>
  <c r="E44" i="1"/>
  <c r="I44" i="1" s="1"/>
  <c r="G43" i="1"/>
  <c r="F43" i="1"/>
  <c r="E43" i="1"/>
  <c r="I43" i="1" s="1"/>
  <c r="G42" i="1"/>
  <c r="F42" i="1"/>
  <c r="E42" i="1"/>
  <c r="I42" i="1" s="1"/>
  <c r="G41" i="1"/>
  <c r="F41" i="1"/>
  <c r="E41" i="1"/>
  <c r="I41" i="1" s="1"/>
  <c r="G40" i="1"/>
  <c r="F40" i="1"/>
  <c r="E40" i="1"/>
  <c r="I40" i="1" s="1"/>
  <c r="G39" i="1"/>
  <c r="F39" i="1"/>
  <c r="E39" i="1"/>
  <c r="I39" i="1" s="1"/>
  <c r="G38" i="1"/>
  <c r="F38" i="1"/>
  <c r="E38" i="1"/>
  <c r="I38" i="1" s="1"/>
  <c r="G37" i="1"/>
  <c r="F37" i="1"/>
  <c r="E37" i="1"/>
  <c r="I37" i="1" s="1"/>
  <c r="G36" i="1"/>
  <c r="F36" i="1"/>
  <c r="E36" i="1"/>
  <c r="I36" i="1" s="1"/>
  <c r="G35" i="1"/>
  <c r="F35" i="1"/>
  <c r="E35" i="1"/>
  <c r="I35" i="1" s="1"/>
  <c r="G34" i="1"/>
  <c r="F34" i="1"/>
  <c r="E34" i="1"/>
  <c r="I34" i="1" s="1"/>
  <c r="G33" i="1"/>
  <c r="F33" i="1"/>
  <c r="E33" i="1"/>
  <c r="I33" i="1" s="1"/>
  <c r="G32" i="1"/>
  <c r="F32" i="1"/>
  <c r="E32" i="1"/>
  <c r="I32" i="1" s="1"/>
  <c r="G31" i="1"/>
  <c r="F31" i="1"/>
  <c r="E31" i="1"/>
  <c r="I31" i="1" s="1"/>
  <c r="G30" i="1"/>
  <c r="F30" i="1"/>
  <c r="E30" i="1"/>
  <c r="I30" i="1" s="1"/>
  <c r="G29" i="1"/>
  <c r="F29" i="1"/>
  <c r="E29" i="1"/>
  <c r="I29" i="1" s="1"/>
  <c r="G28" i="1"/>
  <c r="F28" i="1"/>
  <c r="E28" i="1"/>
  <c r="I28" i="1" s="1"/>
  <c r="G27" i="1"/>
  <c r="F27" i="1"/>
  <c r="E27" i="1"/>
  <c r="I27" i="1" s="1"/>
  <c r="G26" i="1"/>
  <c r="F26" i="1"/>
  <c r="E26" i="1"/>
  <c r="I26" i="1" s="1"/>
  <c r="G25" i="1"/>
  <c r="F25" i="1"/>
  <c r="E25" i="1"/>
  <c r="I25" i="1" s="1"/>
  <c r="G24" i="1"/>
  <c r="F24" i="1"/>
  <c r="E24" i="1"/>
  <c r="I24" i="1" s="1"/>
  <c r="G23" i="1"/>
  <c r="F23" i="1"/>
  <c r="E23" i="1"/>
  <c r="I23" i="1" s="1"/>
  <c r="G22" i="1"/>
  <c r="F22" i="1"/>
  <c r="E22" i="1"/>
  <c r="I22" i="1" s="1"/>
  <c r="G21" i="1"/>
  <c r="F21" i="1"/>
  <c r="E21" i="1"/>
  <c r="I21" i="1" s="1"/>
  <c r="G20" i="1"/>
  <c r="F20" i="1"/>
  <c r="E20" i="1"/>
  <c r="I20" i="1" s="1"/>
  <c r="G19" i="1"/>
  <c r="F19" i="1"/>
  <c r="E19" i="1"/>
  <c r="I19" i="1" s="1"/>
  <c r="G18" i="1"/>
  <c r="F18" i="1"/>
  <c r="E18" i="1"/>
  <c r="I18" i="1" s="1"/>
  <c r="G17" i="1"/>
  <c r="F17" i="1"/>
  <c r="E17" i="1"/>
  <c r="I17" i="1" s="1"/>
  <c r="G16" i="1"/>
  <c r="F16" i="1"/>
  <c r="E16" i="1"/>
  <c r="I16" i="1" s="1"/>
  <c r="G15" i="1"/>
  <c r="F15" i="1"/>
  <c r="E15" i="1"/>
  <c r="I15" i="1" s="1"/>
  <c r="G14" i="1"/>
  <c r="F14" i="1"/>
  <c r="E14" i="1"/>
  <c r="I14" i="1" s="1"/>
  <c r="G13" i="1"/>
  <c r="F13" i="1"/>
  <c r="E13" i="1"/>
  <c r="I13" i="1" s="1"/>
  <c r="G12" i="1"/>
  <c r="F12" i="1"/>
  <c r="E12" i="1"/>
  <c r="I12" i="1" s="1"/>
  <c r="G11" i="1"/>
  <c r="F11" i="1"/>
  <c r="E11" i="1"/>
  <c r="I11" i="1" s="1"/>
  <c r="G10" i="1"/>
  <c r="F10" i="1"/>
  <c r="E10" i="1"/>
  <c r="I10" i="1" s="1"/>
  <c r="G9" i="1"/>
  <c r="F9" i="1"/>
  <c r="E9" i="1"/>
  <c r="I9" i="1" s="1"/>
  <c r="G8" i="1"/>
  <c r="F8" i="1"/>
  <c r="E8" i="1"/>
  <c r="I8" i="1" s="1"/>
  <c r="G7" i="1"/>
  <c r="F7" i="1"/>
  <c r="E7" i="1"/>
  <c r="I7" i="1" s="1"/>
  <c r="G6" i="1"/>
  <c r="F6" i="1"/>
  <c r="E6" i="1"/>
  <c r="I6" i="1" s="1"/>
  <c r="G5" i="1"/>
  <c r="F5" i="1"/>
  <c r="E5" i="1"/>
  <c r="I5" i="1" s="1"/>
  <c r="G4" i="1"/>
  <c r="F4" i="1"/>
  <c r="E4" i="1"/>
  <c r="I4" i="1" s="1"/>
  <c r="G3" i="1"/>
  <c r="G70" i="1" s="1"/>
  <c r="F3" i="1"/>
  <c r="F70" i="1" s="1"/>
  <c r="E3" i="1"/>
  <c r="I3" i="1" s="1"/>
  <c r="I70" i="1" l="1"/>
  <c r="E70" i="1"/>
</calcChain>
</file>

<file path=xl/sharedStrings.xml><?xml version="1.0" encoding="utf-8"?>
<sst xmlns="http://schemas.openxmlformats.org/spreadsheetml/2006/main" count="136" uniqueCount="136">
  <si>
    <t xml:space="preserve">Employee-ID </t>
  </si>
  <si>
    <t>Name</t>
  </si>
  <si>
    <t>DOJ</t>
  </si>
  <si>
    <t>TOTAL</t>
  </si>
  <si>
    <t>DACIPK-0001</t>
  </si>
  <si>
    <t>Foaad Ahmad</t>
  </si>
  <si>
    <t>DACIPK-0002</t>
  </si>
  <si>
    <t>Waleed Kazmi</t>
  </si>
  <si>
    <t>DACIPK-0003</t>
  </si>
  <si>
    <t>Umer Naseer</t>
  </si>
  <si>
    <t>DACIPK-0004</t>
  </si>
  <si>
    <t>Zahra Javed</t>
  </si>
  <si>
    <t>DACIPK-0005</t>
  </si>
  <si>
    <t>Furqan Ahmed Chishti</t>
  </si>
  <si>
    <t>DACIPK-0006</t>
  </si>
  <si>
    <t>Yousaf Sardar Gill</t>
  </si>
  <si>
    <t>DACIPK-0007</t>
  </si>
  <si>
    <t>Muhammad Khalil</t>
  </si>
  <si>
    <t>DACIPK-0008</t>
  </si>
  <si>
    <t>Mashhood Ahmad Qureshi</t>
  </si>
  <si>
    <t>DACIPK-0009</t>
  </si>
  <si>
    <t>Mubashra Zareen</t>
  </si>
  <si>
    <t>DACIPK-0010</t>
  </si>
  <si>
    <t>Muhammad Musa Ahmad</t>
  </si>
  <si>
    <t>DACIPK-0011</t>
  </si>
  <si>
    <t>Abdullah Saad</t>
  </si>
  <si>
    <t>DACIPK-0012</t>
  </si>
  <si>
    <t>Muhammad Waleed Wajdan Khan</t>
  </si>
  <si>
    <t>DACIPK-0013</t>
  </si>
  <si>
    <t>Zain Ul Abideen</t>
  </si>
  <si>
    <t>DACIPK-0014</t>
  </si>
  <si>
    <t>Shoaib Akhtar</t>
  </si>
  <si>
    <t>DACIPK-0015</t>
  </si>
  <si>
    <t>Muhammad Furqan Ashraf</t>
  </si>
  <si>
    <t>DACIPK-0016</t>
  </si>
  <si>
    <t>Ali Atif</t>
  </si>
  <si>
    <t>DACIPK-0017</t>
  </si>
  <si>
    <t>Najeeb ullah - Terminated 16th July</t>
  </si>
  <si>
    <t>DACIPK-0018</t>
  </si>
  <si>
    <t>Zunaira Bibi</t>
  </si>
  <si>
    <t>DACIPK-0019</t>
  </si>
  <si>
    <t>Mohsin Mehmood-Expire</t>
  </si>
  <si>
    <t>DACIPK-0020</t>
  </si>
  <si>
    <t>Maryam Asif</t>
  </si>
  <si>
    <t>DACIPK-0021</t>
  </si>
  <si>
    <t>Shahab Khan</t>
  </si>
  <si>
    <t>DACIPK-0022</t>
  </si>
  <si>
    <t>Arslan Ahmed</t>
  </si>
  <si>
    <t>DACIPK-0023</t>
  </si>
  <si>
    <t>Umar Hanif</t>
  </si>
  <si>
    <t>DACIPK-0024</t>
  </si>
  <si>
    <t>Asad Tariq</t>
  </si>
  <si>
    <t>DACIPK-0025</t>
  </si>
  <si>
    <t>Haseeb Ahmad</t>
  </si>
  <si>
    <t>DACIPK-0026</t>
  </si>
  <si>
    <t xml:space="preserve">Muhammad Awais </t>
  </si>
  <si>
    <t>DACIPK-0027</t>
  </si>
  <si>
    <t>Muhammad Talha</t>
  </si>
  <si>
    <t>DACIPK-0028</t>
  </si>
  <si>
    <t>Muhammad Jibran Khan Jamil</t>
  </si>
  <si>
    <t>DACIPK-0029</t>
  </si>
  <si>
    <t>Nayyera Naeem</t>
  </si>
  <si>
    <t>DACIPK-0030</t>
  </si>
  <si>
    <t>Raanisa Mahbub Expire</t>
  </si>
  <si>
    <t>DACIPK-0031</t>
  </si>
  <si>
    <t>Muhammad Salah Ud Din Satti</t>
  </si>
  <si>
    <t>DACIPK-0032</t>
  </si>
  <si>
    <t>Abdul Mohamin Hashmi</t>
  </si>
  <si>
    <t>DACIPK-0033</t>
  </si>
  <si>
    <t>Atif Zahoor</t>
  </si>
  <si>
    <t>DACIPK-0034</t>
  </si>
  <si>
    <t>Usama Bin Tahir Expire</t>
  </si>
  <si>
    <t>DACIPK-0035</t>
  </si>
  <si>
    <t xml:space="preserve">Fawad Waheed </t>
  </si>
  <si>
    <t>DACIPK-0036</t>
  </si>
  <si>
    <t>Muhammad Ahmad Khan</t>
  </si>
  <si>
    <t>DACIPK-0037</t>
  </si>
  <si>
    <t>Shahid Ayub Ayub</t>
  </si>
  <si>
    <t>DACIPK-0038</t>
  </si>
  <si>
    <t xml:space="preserve">Izza Hashmi  </t>
  </si>
  <si>
    <t>DACIPK-0039</t>
  </si>
  <si>
    <t xml:space="preserve">Muhammad Ali </t>
  </si>
  <si>
    <t>DACIPK-0040</t>
  </si>
  <si>
    <t xml:space="preserve">Hamza Amjad Abbasi </t>
  </si>
  <si>
    <t>DACIPK-0041</t>
  </si>
  <si>
    <t xml:space="preserve">Kashif Ullah </t>
  </si>
  <si>
    <t>DACIPK-0042</t>
  </si>
  <si>
    <t xml:space="preserve">Taha Zia </t>
  </si>
  <si>
    <t>DACIPK-0043</t>
  </si>
  <si>
    <t xml:space="preserve">Israr Ali Jatoi </t>
  </si>
  <si>
    <t>DACIPK-0044</t>
  </si>
  <si>
    <t xml:space="preserve">Karim Ullah </t>
  </si>
  <si>
    <t>DACIPK-0045</t>
  </si>
  <si>
    <t>Saad Hamid</t>
  </si>
  <si>
    <t>DACIPK-0046</t>
  </si>
  <si>
    <t>Junaid Ahmed</t>
  </si>
  <si>
    <t>DACIPK-0047</t>
  </si>
  <si>
    <t>Muhammad Ammar Faruqi</t>
  </si>
  <si>
    <t>DACIPK-0048</t>
  </si>
  <si>
    <t>Bahar Khan</t>
  </si>
  <si>
    <t>DACIPK-0049</t>
  </si>
  <si>
    <t>Huzaifa Bilal</t>
  </si>
  <si>
    <t>DACIPK-0050</t>
  </si>
  <si>
    <t>Wardah Mehmood</t>
  </si>
  <si>
    <t>DACIPK-0051</t>
  </si>
  <si>
    <t>Abid Ullah</t>
  </si>
  <si>
    <t>DACIPK-0052</t>
  </si>
  <si>
    <t>Naveed Azaam - 16.01.2026</t>
  </si>
  <si>
    <t>DACIPK-0053</t>
  </si>
  <si>
    <t xml:space="preserve">Kaleem Ullah </t>
  </si>
  <si>
    <t>DACIPK-0054</t>
  </si>
  <si>
    <t>Shameen Mazhar</t>
  </si>
  <si>
    <t>DACIPK-0055</t>
  </si>
  <si>
    <t>Muhammad Nouman Ijaz - KHI</t>
  </si>
  <si>
    <t>DACIPK-0056</t>
  </si>
  <si>
    <t>Muhammad Talha Nadeem</t>
  </si>
  <si>
    <t>DACIPK-0057</t>
  </si>
  <si>
    <t xml:space="preserve">Bilal Ahmad </t>
  </si>
  <si>
    <t>DACIPK-0058</t>
  </si>
  <si>
    <t>Umair Ahmad</t>
  </si>
  <si>
    <t>DACIPK-0059</t>
  </si>
  <si>
    <t>Bushra Laraib - KHI</t>
  </si>
  <si>
    <t>DACIPK-0060</t>
  </si>
  <si>
    <t>Muhammad Danyal</t>
  </si>
  <si>
    <t>DACIPK-0061</t>
  </si>
  <si>
    <t>Safiyullah Nadeem</t>
  </si>
  <si>
    <t>DACIPK-0062</t>
  </si>
  <si>
    <t>Hareem Safdar</t>
  </si>
  <si>
    <t>DACIPK-0063</t>
  </si>
  <si>
    <t xml:space="preserve">Abdur Rafay </t>
  </si>
  <si>
    <t>DACIPK-0064</t>
  </si>
  <si>
    <t>Nouman Khan</t>
  </si>
  <si>
    <t>DACIPK-0065</t>
  </si>
  <si>
    <t>Arsal Khan</t>
  </si>
  <si>
    <t>DACIPK-0066</t>
  </si>
  <si>
    <t>Abdul Saboor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</si>
</sst>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Libre Baskerville"/>
    </font>
    <font>
      <b/>
      <sz val="8"/>
      <color theme="1"/>
      <name val="Libre Baskerville"/>
    </font>
    <font>
      <sz val="8"/>
      <color theme="1"/>
      <name val="Libre Baskerville"/>
    </font>
    <font>
      <sz val="8"/>
      <name val="Libre Baskerville"/>
    </font>
    <font>
      <sz val="8"/>
      <color theme="9" tint="-0.499984740745262"/>
      <name val="Libre Baskerville"/>
    </font>
    <font>
      <sz val="8"/>
      <color rgb="FFC00000"/>
      <name val="Libre Baskerville"/>
    </font>
    <font>
      <b/>
      <sz val="8"/>
      <color rgb="FFC00000"/>
      <name val="Libre Baskerville"/>
    </font>
    <font>
      <sz val="8"/>
      <color rgb="FF000000"/>
      <name val="Libre Baskerville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DCD1"/>
        <bgColor indexed="64"/>
      </patternFill>
    </fill>
    <fill>
      <patternFill patternType="solid">
        <fgColor rgb="FFFFDCD1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5" fontId="4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0" applyNumberFormat="1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15" fontId="7" fillId="3" borderId="0" xfId="0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/>
    </xf>
    <xf numFmtId="0" fontId="7" fillId="3" borderId="0" xfId="0" applyFont="1" applyFill="1"/>
    <xf numFmtId="164" fontId="8" fillId="3" borderId="0" xfId="0" applyNumberFormat="1" applyFont="1" applyFill="1"/>
    <xf numFmtId="0" fontId="7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/>
    <xf numFmtId="164" fontId="3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Employee%20Saving%20Plan%20Record%20till%20April-26%20-%20DACI%20Engineering%20Services.xlsx" TargetMode="External"/><Relationship Id="rId1" Type="http://schemas.openxmlformats.org/officeDocument/2006/relationships/externalLinkPath" Target="file:///C:\Users\PC\Downloads\Employee%20Saving%20Plan%20Record%20till%20April-26%20-%20DACI%20Engineering%20Serv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P-26"/>
      <sheetName val="BS-26"/>
      <sheetName val="2026"/>
      <sheetName val="SP-25"/>
      <sheetName val="BS-25"/>
      <sheetName val="2025"/>
      <sheetName val="SP-24"/>
      <sheetName val="BS-24"/>
      <sheetName val="2024"/>
    </sheetNames>
    <sheetDataSet>
      <sheetData sheetId="0"/>
      <sheetData sheetId="1">
        <row r="3">
          <cell r="Q3">
            <v>70560</v>
          </cell>
        </row>
        <row r="4">
          <cell r="Q4">
            <v>63720</v>
          </cell>
        </row>
        <row r="5">
          <cell r="Q5">
            <v>60784.56</v>
          </cell>
        </row>
        <row r="6">
          <cell r="Q6">
            <v>41661</v>
          </cell>
        </row>
        <row r="7">
          <cell r="Q7">
            <v>63720</v>
          </cell>
        </row>
        <row r="8">
          <cell r="Q8">
            <v>42060.060000000005</v>
          </cell>
        </row>
        <row r="9">
          <cell r="Q9">
            <v>0</v>
          </cell>
        </row>
        <row r="10">
          <cell r="Q10">
            <v>29520</v>
          </cell>
        </row>
        <row r="11">
          <cell r="Q11">
            <v>46967.94</v>
          </cell>
        </row>
        <row r="12">
          <cell r="Q12">
            <v>0</v>
          </cell>
        </row>
        <row r="13">
          <cell r="Q13">
            <v>43560</v>
          </cell>
        </row>
        <row r="14">
          <cell r="Q14">
            <v>38070</v>
          </cell>
        </row>
        <row r="15">
          <cell r="Q15">
            <v>63000</v>
          </cell>
        </row>
        <row r="16">
          <cell r="Q16">
            <v>0</v>
          </cell>
        </row>
        <row r="17">
          <cell r="Q17">
            <v>18493.650000000001</v>
          </cell>
        </row>
        <row r="18">
          <cell r="Q18">
            <v>21973.5</v>
          </cell>
        </row>
        <row r="19">
          <cell r="Q19">
            <v>0</v>
          </cell>
        </row>
        <row r="20">
          <cell r="Q20">
            <v>29651.4</v>
          </cell>
        </row>
        <row r="21">
          <cell r="Q21">
            <v>0</v>
          </cell>
        </row>
        <row r="22">
          <cell r="Q22">
            <v>36987.300000000003</v>
          </cell>
        </row>
        <row r="23">
          <cell r="Q23">
            <v>45000</v>
          </cell>
        </row>
        <row r="24">
          <cell r="Q24">
            <v>54000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36987.300000000003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36987.300000000003</v>
          </cell>
        </row>
        <row r="31">
          <cell r="Q31">
            <v>27740.475000000002</v>
          </cell>
        </row>
        <row r="32">
          <cell r="Q32">
            <v>0</v>
          </cell>
        </row>
        <row r="33">
          <cell r="Q33">
            <v>36987.300000000003</v>
          </cell>
        </row>
        <row r="34">
          <cell r="Q34">
            <v>27740.475000000002</v>
          </cell>
        </row>
        <row r="35">
          <cell r="Q35">
            <v>45000</v>
          </cell>
        </row>
        <row r="36">
          <cell r="Q36">
            <v>0</v>
          </cell>
        </row>
        <row r="37">
          <cell r="Q37">
            <v>36987.300000000003</v>
          </cell>
        </row>
        <row r="38">
          <cell r="Q38">
            <v>40500</v>
          </cell>
        </row>
        <row r="39">
          <cell r="Q39">
            <v>29700</v>
          </cell>
        </row>
        <row r="40">
          <cell r="Q40">
            <v>39600</v>
          </cell>
        </row>
        <row r="41">
          <cell r="Q41">
            <v>21973.5</v>
          </cell>
        </row>
        <row r="42">
          <cell r="Q42">
            <v>27000</v>
          </cell>
        </row>
        <row r="43">
          <cell r="Q43">
            <v>29700</v>
          </cell>
        </row>
        <row r="44">
          <cell r="Q44">
            <v>54000</v>
          </cell>
        </row>
        <row r="45">
          <cell r="Q45">
            <v>0</v>
          </cell>
        </row>
        <row r="46">
          <cell r="Q46">
            <v>45000</v>
          </cell>
        </row>
        <row r="47">
          <cell r="Q47">
            <v>10986.75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16481.475000000002</v>
          </cell>
        </row>
        <row r="51">
          <cell r="Q51">
            <v>16481.475000000002</v>
          </cell>
        </row>
        <row r="52">
          <cell r="Q52">
            <v>16481.475000000002</v>
          </cell>
        </row>
        <row r="53">
          <cell r="Q53">
            <v>16481.475000000002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</sheetData>
      <sheetData sheetId="2"/>
      <sheetData sheetId="3"/>
      <sheetData sheetId="4">
        <row r="3">
          <cell r="Q3">
            <v>205200</v>
          </cell>
        </row>
        <row r="4">
          <cell r="Q4">
            <v>184680</v>
          </cell>
        </row>
        <row r="5">
          <cell r="Q5">
            <v>180733.68000000005</v>
          </cell>
        </row>
        <row r="6">
          <cell r="Q6">
            <v>123363</v>
          </cell>
        </row>
        <row r="7">
          <cell r="Q7">
            <v>189540</v>
          </cell>
        </row>
        <row r="8">
          <cell r="Q8">
            <v>124560.18000000001</v>
          </cell>
        </row>
        <row r="9">
          <cell r="Q9">
            <v>103072.5</v>
          </cell>
        </row>
        <row r="10">
          <cell r="Q10">
            <v>86940</v>
          </cell>
        </row>
        <row r="11">
          <cell r="Q11">
            <v>129060</v>
          </cell>
        </row>
        <row r="12">
          <cell r="Q12">
            <v>49702.68</v>
          </cell>
        </row>
        <row r="13">
          <cell r="Q13">
            <v>129060</v>
          </cell>
        </row>
        <row r="14">
          <cell r="Q14">
            <v>112590</v>
          </cell>
        </row>
        <row r="15">
          <cell r="Q15">
            <v>105923.88000000005</v>
          </cell>
        </row>
        <row r="16">
          <cell r="Q16">
            <v>211543.33499999996</v>
          </cell>
        </row>
        <row r="17">
          <cell r="Q17">
            <v>87399</v>
          </cell>
        </row>
        <row r="18">
          <cell r="Q18">
            <v>46693.440000000002</v>
          </cell>
        </row>
        <row r="19">
          <cell r="Q19">
            <v>24831.81</v>
          </cell>
        </row>
        <row r="20">
          <cell r="Q20">
            <v>70665.48</v>
          </cell>
        </row>
        <row r="21">
          <cell r="Q21">
            <v>0</v>
          </cell>
        </row>
        <row r="22">
          <cell r="Q22">
            <v>55260</v>
          </cell>
        </row>
        <row r="23">
          <cell r="Q23">
            <v>63360</v>
          </cell>
        </row>
        <row r="24">
          <cell r="Q24">
            <v>57060</v>
          </cell>
        </row>
        <row r="25">
          <cell r="Q25">
            <v>25200</v>
          </cell>
        </row>
        <row r="26">
          <cell r="Q26">
            <v>141000</v>
          </cell>
        </row>
        <row r="27">
          <cell r="Q27">
            <v>101600</v>
          </cell>
        </row>
        <row r="28">
          <cell r="Q28">
            <v>33600</v>
          </cell>
        </row>
        <row r="29">
          <cell r="Q29">
            <v>33600</v>
          </cell>
        </row>
        <row r="30">
          <cell r="Q30">
            <v>89600</v>
          </cell>
        </row>
        <row r="31">
          <cell r="Q31">
            <v>89600</v>
          </cell>
        </row>
        <row r="32">
          <cell r="Q32">
            <v>0</v>
          </cell>
        </row>
        <row r="33">
          <cell r="Q33">
            <v>89600</v>
          </cell>
        </row>
        <row r="34">
          <cell r="Q34">
            <v>89600</v>
          </cell>
        </row>
        <row r="35">
          <cell r="Q35">
            <v>71200</v>
          </cell>
        </row>
        <row r="36">
          <cell r="Q36">
            <v>0</v>
          </cell>
        </row>
        <row r="37">
          <cell r="Q37">
            <v>66000</v>
          </cell>
        </row>
        <row r="38">
          <cell r="Q38">
            <v>64800</v>
          </cell>
        </row>
        <row r="39">
          <cell r="Q39">
            <v>38400</v>
          </cell>
        </row>
        <row r="40">
          <cell r="Q40">
            <v>60000</v>
          </cell>
        </row>
        <row r="41">
          <cell r="Q41">
            <v>7600</v>
          </cell>
        </row>
        <row r="42">
          <cell r="Q42">
            <v>7600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</sheetData>
      <sheetData sheetId="5"/>
      <sheetData sheetId="6"/>
      <sheetData sheetId="7">
        <row r="3">
          <cell r="Q3">
            <v>205200</v>
          </cell>
        </row>
        <row r="4">
          <cell r="Q4">
            <v>107730</v>
          </cell>
        </row>
        <row r="5">
          <cell r="Q5">
            <v>175873.68000000005</v>
          </cell>
        </row>
        <row r="6">
          <cell r="Q6">
            <v>118503</v>
          </cell>
        </row>
        <row r="7">
          <cell r="Q7">
            <v>184680</v>
          </cell>
        </row>
        <row r="8">
          <cell r="Q8">
            <v>119700.18000000001</v>
          </cell>
        </row>
        <row r="9">
          <cell r="Q9">
            <v>107730</v>
          </cell>
        </row>
        <row r="10">
          <cell r="Q10">
            <v>82080</v>
          </cell>
        </row>
        <row r="11">
          <cell r="Q11">
            <v>82080</v>
          </cell>
        </row>
        <row r="12">
          <cell r="Q12">
            <v>82080</v>
          </cell>
        </row>
        <row r="13">
          <cell r="Q13">
            <v>82080</v>
          </cell>
        </row>
        <row r="14">
          <cell r="Q14">
            <v>107730</v>
          </cell>
        </row>
        <row r="15">
          <cell r="Q15">
            <v>56109.24000000002</v>
          </cell>
        </row>
        <row r="16">
          <cell r="Q16">
            <v>226061.81999999995</v>
          </cell>
        </row>
        <row r="17">
          <cell r="Q17">
            <v>10260</v>
          </cell>
        </row>
        <row r="18">
          <cell r="Q18">
            <v>4950</v>
          </cell>
        </row>
        <row r="19">
          <cell r="Q19">
            <v>0</v>
          </cell>
        </row>
        <row r="20">
          <cell r="Q20">
            <v>3600</v>
          </cell>
        </row>
        <row r="21">
          <cell r="Q21">
            <v>2475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6">
          <cell r="Q36">
            <v>1758922.92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0106-4BA5-4DF3-A39F-AD24D91BD936}">
  <dimension ref="A2:I71"/>
  <sheetViews>
    <sheetView tabSelected="1" workbookViewId="0">
      <selection activeCell="J5" sqref="J5"/>
    </sheetView>
  </sheetViews>
  <sheetFormatPr defaultRowHeight="11.25" x14ac:dyDescent="0.2"/>
  <cols>
    <col min="1" max="1" width="15" style="4" bestFit="1" customWidth="1"/>
    <col min="2" max="2" width="32.42578125" style="19" customWidth="1"/>
    <col min="3" max="3" width="13.140625" style="20" bestFit="1" customWidth="1"/>
    <col min="4" max="4" width="2.28515625" style="4" customWidth="1"/>
    <col min="5" max="5" width="12.85546875" style="4" bestFit="1" customWidth="1"/>
    <col min="6" max="6" width="13.7109375" style="4" bestFit="1" customWidth="1"/>
    <col min="7" max="7" width="13" style="4" bestFit="1" customWidth="1"/>
    <col min="8" max="8" width="2" style="4" customWidth="1"/>
    <col min="9" max="9" width="14.28515625" style="21" bestFit="1" customWidth="1"/>
    <col min="10" max="16384" width="9.140625" style="4"/>
  </cols>
  <sheetData>
    <row r="2" spans="1:9" ht="18" customHeight="1" x14ac:dyDescent="0.2">
      <c r="A2" s="1" t="s">
        <v>0</v>
      </c>
      <c r="B2" s="2" t="s">
        <v>1</v>
      </c>
      <c r="C2" s="3" t="s">
        <v>2</v>
      </c>
      <c r="D2" s="3"/>
      <c r="E2" s="3">
        <v>2026</v>
      </c>
      <c r="F2" s="3">
        <v>2025</v>
      </c>
      <c r="G2" s="3">
        <v>2024</v>
      </c>
      <c r="I2" s="3" t="s">
        <v>3</v>
      </c>
    </row>
    <row r="3" spans="1:9" ht="18" customHeight="1" x14ac:dyDescent="0.2">
      <c r="A3" s="5" t="s">
        <v>4</v>
      </c>
      <c r="B3" s="6" t="s">
        <v>5</v>
      </c>
      <c r="C3" s="7">
        <v>45293</v>
      </c>
      <c r="D3" s="8"/>
      <c r="E3" s="8">
        <f>'[1]SP-26'!Q3</f>
        <v>70560</v>
      </c>
      <c r="F3" s="8">
        <f>'[1]SP-25'!Q3</f>
        <v>205200</v>
      </c>
      <c r="G3" s="8">
        <f>'[1]SP-24'!Q3</f>
        <v>205200</v>
      </c>
      <c r="I3" s="9">
        <f t="shared" ref="I3:I66" si="0">SUM(D3:H3)</f>
        <v>480960</v>
      </c>
    </row>
    <row r="4" spans="1:9" ht="18" customHeight="1" x14ac:dyDescent="0.2">
      <c r="A4" s="5" t="s">
        <v>6</v>
      </c>
      <c r="B4" s="6" t="s">
        <v>7</v>
      </c>
      <c r="C4" s="7">
        <v>45293</v>
      </c>
      <c r="D4" s="8"/>
      <c r="E4" s="8">
        <f>'[1]SP-26'!Q4</f>
        <v>63720</v>
      </c>
      <c r="F4" s="8">
        <f>'[1]SP-25'!Q4</f>
        <v>184680</v>
      </c>
      <c r="G4" s="8">
        <f>'[1]SP-24'!Q4</f>
        <v>107730</v>
      </c>
      <c r="I4" s="9">
        <f t="shared" si="0"/>
        <v>356130</v>
      </c>
    </row>
    <row r="5" spans="1:9" ht="18" customHeight="1" x14ac:dyDescent="0.2">
      <c r="A5" s="5" t="s">
        <v>8</v>
      </c>
      <c r="B5" s="6" t="s">
        <v>9</v>
      </c>
      <c r="C5" s="7">
        <v>45293</v>
      </c>
      <c r="D5" s="8"/>
      <c r="E5" s="8">
        <f>'[1]SP-26'!Q5</f>
        <v>60784.56</v>
      </c>
      <c r="F5" s="8">
        <f>'[1]SP-25'!Q5</f>
        <v>180733.68000000005</v>
      </c>
      <c r="G5" s="8">
        <f>'[1]SP-24'!Q5</f>
        <v>175873.68000000005</v>
      </c>
      <c r="I5" s="9">
        <f t="shared" si="0"/>
        <v>417391.9200000001</v>
      </c>
    </row>
    <row r="6" spans="1:9" ht="18" customHeight="1" x14ac:dyDescent="0.2">
      <c r="A6" s="5" t="s">
        <v>10</v>
      </c>
      <c r="B6" s="6" t="s">
        <v>11</v>
      </c>
      <c r="C6" s="7">
        <v>45293</v>
      </c>
      <c r="D6" s="8"/>
      <c r="E6" s="8">
        <f>'[1]SP-26'!Q6</f>
        <v>41661</v>
      </c>
      <c r="F6" s="8">
        <f>'[1]SP-25'!Q6</f>
        <v>123363</v>
      </c>
      <c r="G6" s="8">
        <f>'[1]SP-24'!Q6</f>
        <v>118503</v>
      </c>
      <c r="I6" s="9">
        <f t="shared" si="0"/>
        <v>283527</v>
      </c>
    </row>
    <row r="7" spans="1:9" ht="18" customHeight="1" x14ac:dyDescent="0.2">
      <c r="A7" s="5" t="s">
        <v>12</v>
      </c>
      <c r="B7" s="6" t="s">
        <v>13</v>
      </c>
      <c r="C7" s="7">
        <v>45293</v>
      </c>
      <c r="D7" s="8"/>
      <c r="E7" s="8">
        <f>'[1]SP-26'!Q7</f>
        <v>63720</v>
      </c>
      <c r="F7" s="8">
        <f>'[1]SP-25'!Q7</f>
        <v>189540</v>
      </c>
      <c r="G7" s="8">
        <f>'[1]SP-24'!Q7</f>
        <v>184680</v>
      </c>
      <c r="I7" s="9">
        <f t="shared" si="0"/>
        <v>437940</v>
      </c>
    </row>
    <row r="8" spans="1:9" ht="18" customHeight="1" x14ac:dyDescent="0.2">
      <c r="A8" s="5" t="s">
        <v>14</v>
      </c>
      <c r="B8" s="6" t="s">
        <v>15</v>
      </c>
      <c r="C8" s="7">
        <v>45293</v>
      </c>
      <c r="D8" s="8"/>
      <c r="E8" s="8">
        <f>'[1]SP-26'!Q8</f>
        <v>42060.060000000005</v>
      </c>
      <c r="F8" s="8">
        <f>'[1]SP-25'!Q8</f>
        <v>124560.18000000001</v>
      </c>
      <c r="G8" s="8">
        <f>'[1]SP-24'!Q8</f>
        <v>119700.18000000001</v>
      </c>
      <c r="I8" s="9">
        <f t="shared" si="0"/>
        <v>286320.42000000004</v>
      </c>
    </row>
    <row r="9" spans="1:9" ht="18" customHeight="1" x14ac:dyDescent="0.2">
      <c r="A9" s="10" t="s">
        <v>16</v>
      </c>
      <c r="B9" s="11" t="s">
        <v>17</v>
      </c>
      <c r="C9" s="12">
        <v>45293</v>
      </c>
      <c r="D9" s="13"/>
      <c r="E9" s="13">
        <f>'[1]SP-26'!Q9</f>
        <v>0</v>
      </c>
      <c r="F9" s="13">
        <f>'[1]SP-25'!Q9</f>
        <v>103072.5</v>
      </c>
      <c r="G9" s="13">
        <f>'[1]SP-24'!Q9</f>
        <v>107730</v>
      </c>
      <c r="H9" s="14"/>
      <c r="I9" s="15">
        <f t="shared" si="0"/>
        <v>210802.5</v>
      </c>
    </row>
    <row r="10" spans="1:9" ht="18" customHeight="1" x14ac:dyDescent="0.2">
      <c r="A10" s="5" t="s">
        <v>18</v>
      </c>
      <c r="B10" s="6" t="s">
        <v>19</v>
      </c>
      <c r="C10" s="7">
        <v>45293</v>
      </c>
      <c r="D10" s="8"/>
      <c r="E10" s="8">
        <f>'[1]SP-26'!Q10</f>
        <v>29520</v>
      </c>
      <c r="F10" s="8">
        <f>'[1]SP-25'!Q10</f>
        <v>86940</v>
      </c>
      <c r="G10" s="8">
        <f>'[1]SP-24'!Q10</f>
        <v>82080</v>
      </c>
      <c r="I10" s="9">
        <f t="shared" si="0"/>
        <v>198540</v>
      </c>
    </row>
    <row r="11" spans="1:9" ht="18" customHeight="1" x14ac:dyDescent="0.2">
      <c r="A11" s="5" t="s">
        <v>20</v>
      </c>
      <c r="B11" s="6" t="s">
        <v>21</v>
      </c>
      <c r="C11" s="7">
        <v>45293</v>
      </c>
      <c r="D11" s="8"/>
      <c r="E11" s="8">
        <f>'[1]SP-26'!Q11</f>
        <v>46967.94</v>
      </c>
      <c r="F11" s="8">
        <f>'[1]SP-25'!Q11</f>
        <v>129060</v>
      </c>
      <c r="G11" s="8">
        <f>'[1]SP-24'!Q11</f>
        <v>82080</v>
      </c>
      <c r="I11" s="9">
        <f t="shared" si="0"/>
        <v>258107.94</v>
      </c>
    </row>
    <row r="12" spans="1:9" ht="18" customHeight="1" x14ac:dyDescent="0.2">
      <c r="A12" s="10" t="s">
        <v>22</v>
      </c>
      <c r="B12" s="11" t="s">
        <v>23</v>
      </c>
      <c r="C12" s="12">
        <v>45293</v>
      </c>
      <c r="D12" s="13"/>
      <c r="E12" s="13">
        <f>'[1]SP-26'!Q12</f>
        <v>0</v>
      </c>
      <c r="F12" s="13">
        <f>'[1]SP-25'!Q12</f>
        <v>49702.68</v>
      </c>
      <c r="G12" s="13">
        <f>'[1]SP-24'!Q12</f>
        <v>82080</v>
      </c>
      <c r="H12" s="14"/>
      <c r="I12" s="15">
        <f t="shared" si="0"/>
        <v>131782.68</v>
      </c>
    </row>
    <row r="13" spans="1:9" ht="18" customHeight="1" x14ac:dyDescent="0.2">
      <c r="A13" s="5" t="s">
        <v>24</v>
      </c>
      <c r="B13" s="6" t="s">
        <v>25</v>
      </c>
      <c r="C13" s="7">
        <v>45293</v>
      </c>
      <c r="D13" s="8"/>
      <c r="E13" s="8">
        <f>'[1]SP-26'!Q13</f>
        <v>43560</v>
      </c>
      <c r="F13" s="8">
        <f>'[1]SP-25'!Q13</f>
        <v>129060</v>
      </c>
      <c r="G13" s="8">
        <f>'[1]SP-24'!Q13</f>
        <v>82080</v>
      </c>
      <c r="I13" s="9">
        <f t="shared" si="0"/>
        <v>254700</v>
      </c>
    </row>
    <row r="14" spans="1:9" ht="18" customHeight="1" x14ac:dyDescent="0.2">
      <c r="A14" s="5" t="s">
        <v>26</v>
      </c>
      <c r="B14" s="6" t="s">
        <v>27</v>
      </c>
      <c r="C14" s="7">
        <v>45293</v>
      </c>
      <c r="D14" s="8"/>
      <c r="E14" s="8">
        <f>'[1]SP-26'!Q14</f>
        <v>38070</v>
      </c>
      <c r="F14" s="8">
        <f>'[1]SP-25'!Q14</f>
        <v>112590</v>
      </c>
      <c r="G14" s="8">
        <f>'[1]SP-24'!Q14</f>
        <v>107730</v>
      </c>
      <c r="I14" s="9">
        <f t="shared" si="0"/>
        <v>258390</v>
      </c>
    </row>
    <row r="15" spans="1:9" ht="18" customHeight="1" x14ac:dyDescent="0.2">
      <c r="A15" s="5" t="s">
        <v>28</v>
      </c>
      <c r="B15" s="6" t="s">
        <v>29</v>
      </c>
      <c r="C15" s="7">
        <v>45293</v>
      </c>
      <c r="D15" s="8"/>
      <c r="E15" s="8">
        <f>'[1]SP-26'!Q15</f>
        <v>63000</v>
      </c>
      <c r="F15" s="8">
        <f>'[1]SP-25'!Q15</f>
        <v>105923.88000000005</v>
      </c>
      <c r="G15" s="8">
        <f>'[1]SP-24'!Q15</f>
        <v>56109.24000000002</v>
      </c>
      <c r="I15" s="9">
        <f t="shared" si="0"/>
        <v>225033.12000000008</v>
      </c>
    </row>
    <row r="16" spans="1:9" ht="18" customHeight="1" x14ac:dyDescent="0.2">
      <c r="A16" s="10" t="s">
        <v>30</v>
      </c>
      <c r="B16" s="11" t="s">
        <v>31</v>
      </c>
      <c r="C16" s="12">
        <v>45293</v>
      </c>
      <c r="D16" s="13"/>
      <c r="E16" s="13">
        <f>'[1]SP-26'!Q16</f>
        <v>0</v>
      </c>
      <c r="F16" s="13">
        <f>'[1]SP-25'!Q16</f>
        <v>211543.33499999996</v>
      </c>
      <c r="G16" s="13">
        <f>'[1]SP-24'!Q16</f>
        <v>226061.81999999995</v>
      </c>
      <c r="H16" s="14"/>
      <c r="I16" s="15">
        <f t="shared" si="0"/>
        <v>437605.15499999991</v>
      </c>
    </row>
    <row r="17" spans="1:9" ht="18" customHeight="1" x14ac:dyDescent="0.2">
      <c r="A17" s="10" t="s">
        <v>32</v>
      </c>
      <c r="B17" s="11" t="s">
        <v>33</v>
      </c>
      <c r="C17" s="12">
        <v>45384</v>
      </c>
      <c r="D17" s="13"/>
      <c r="E17" s="13">
        <f>'[1]SP-26'!Q17</f>
        <v>18493.650000000001</v>
      </c>
      <c r="F17" s="13">
        <f>'[1]SP-25'!Q17</f>
        <v>87399</v>
      </c>
      <c r="G17" s="13">
        <f>'[1]SP-24'!Q17</f>
        <v>10260</v>
      </c>
      <c r="H17" s="14"/>
      <c r="I17" s="15">
        <f t="shared" si="0"/>
        <v>116152.65</v>
      </c>
    </row>
    <row r="18" spans="1:9" ht="18" customHeight="1" x14ac:dyDescent="0.2">
      <c r="A18" s="5" t="s">
        <v>34</v>
      </c>
      <c r="B18" s="6" t="s">
        <v>35</v>
      </c>
      <c r="C18" s="7">
        <v>45413</v>
      </c>
      <c r="D18" s="8"/>
      <c r="E18" s="8">
        <f>'[1]SP-26'!Q18</f>
        <v>21973.5</v>
      </c>
      <c r="F18" s="8">
        <f>'[1]SP-25'!Q18</f>
        <v>46693.440000000002</v>
      </c>
      <c r="G18" s="8">
        <f>'[1]SP-24'!Q18</f>
        <v>4950</v>
      </c>
      <c r="I18" s="9">
        <f t="shared" si="0"/>
        <v>73616.94</v>
      </c>
    </row>
    <row r="19" spans="1:9" ht="18" customHeight="1" x14ac:dyDescent="0.2">
      <c r="A19" s="16" t="s">
        <v>36</v>
      </c>
      <c r="B19" s="11" t="s">
        <v>37</v>
      </c>
      <c r="C19" s="12">
        <v>45446</v>
      </c>
      <c r="D19" s="13"/>
      <c r="E19" s="13">
        <f>'[1]SP-26'!Q19</f>
        <v>0</v>
      </c>
      <c r="F19" s="13">
        <f>'[1]SP-25'!Q19</f>
        <v>24831.81</v>
      </c>
      <c r="G19" s="13">
        <f>'[1]SP-24'!Q19</f>
        <v>0</v>
      </c>
      <c r="H19" s="14"/>
      <c r="I19" s="15">
        <f t="shared" si="0"/>
        <v>24831.81</v>
      </c>
    </row>
    <row r="20" spans="1:9" ht="18" customHeight="1" x14ac:dyDescent="0.2">
      <c r="A20" s="5" t="s">
        <v>38</v>
      </c>
      <c r="B20" s="6" t="s">
        <v>39</v>
      </c>
      <c r="C20" s="7">
        <v>45446</v>
      </c>
      <c r="D20" s="8"/>
      <c r="E20" s="8">
        <f>'[1]SP-26'!Q20</f>
        <v>29651.4</v>
      </c>
      <c r="F20" s="8">
        <f>'[1]SP-25'!Q20</f>
        <v>70665.48</v>
      </c>
      <c r="G20" s="8">
        <f>'[1]SP-24'!Q20</f>
        <v>3600</v>
      </c>
      <c r="I20" s="9">
        <f t="shared" si="0"/>
        <v>103916.88</v>
      </c>
    </row>
    <row r="21" spans="1:9" ht="18" customHeight="1" x14ac:dyDescent="0.2">
      <c r="A21" s="16" t="s">
        <v>40</v>
      </c>
      <c r="B21" s="11" t="s">
        <v>41</v>
      </c>
      <c r="C21" s="12">
        <v>45446</v>
      </c>
      <c r="D21" s="13"/>
      <c r="E21" s="13">
        <f>'[1]SP-26'!Q21</f>
        <v>0</v>
      </c>
      <c r="F21" s="13">
        <f>'[1]SP-25'!Q21</f>
        <v>0</v>
      </c>
      <c r="G21" s="13">
        <f>'[1]SP-24'!Q21</f>
        <v>2475</v>
      </c>
      <c r="H21" s="14"/>
      <c r="I21" s="15">
        <f t="shared" si="0"/>
        <v>2475</v>
      </c>
    </row>
    <row r="22" spans="1:9" ht="18" customHeight="1" x14ac:dyDescent="0.2">
      <c r="A22" s="5" t="s">
        <v>42</v>
      </c>
      <c r="B22" s="6" t="s">
        <v>43</v>
      </c>
      <c r="C22" s="7">
        <v>45523</v>
      </c>
      <c r="D22" s="8"/>
      <c r="E22" s="8">
        <f>'[1]SP-26'!Q22</f>
        <v>36987.300000000003</v>
      </c>
      <c r="F22" s="8">
        <f>'[1]SP-25'!Q22</f>
        <v>55260</v>
      </c>
      <c r="G22" s="8">
        <f>'[1]SP-24'!Q22</f>
        <v>0</v>
      </c>
      <c r="I22" s="9">
        <f t="shared" si="0"/>
        <v>92247.3</v>
      </c>
    </row>
    <row r="23" spans="1:9" ht="18" customHeight="1" x14ac:dyDescent="0.2">
      <c r="A23" s="5" t="s">
        <v>44</v>
      </c>
      <c r="B23" s="6" t="s">
        <v>45</v>
      </c>
      <c r="C23" s="7">
        <v>45536</v>
      </c>
      <c r="D23" s="8"/>
      <c r="E23" s="8">
        <f>'[1]SP-26'!Q23</f>
        <v>45000</v>
      </c>
      <c r="F23" s="8">
        <f>'[1]SP-25'!Q23</f>
        <v>63360</v>
      </c>
      <c r="G23" s="8">
        <f>'[1]SP-24'!Q23</f>
        <v>0</v>
      </c>
      <c r="I23" s="9">
        <f t="shared" si="0"/>
        <v>108360</v>
      </c>
    </row>
    <row r="24" spans="1:9" ht="18" customHeight="1" x14ac:dyDescent="0.2">
      <c r="A24" s="5" t="s">
        <v>46</v>
      </c>
      <c r="B24" s="6" t="s">
        <v>47</v>
      </c>
      <c r="C24" s="7">
        <v>45551</v>
      </c>
      <c r="D24" s="8"/>
      <c r="E24" s="8">
        <f>'[1]SP-26'!Q24</f>
        <v>54000</v>
      </c>
      <c r="F24" s="8">
        <f>'[1]SP-25'!Q24</f>
        <v>57060</v>
      </c>
      <c r="G24" s="8">
        <f>'[1]SP-24'!Q24</f>
        <v>0</v>
      </c>
      <c r="I24" s="9">
        <f t="shared" si="0"/>
        <v>111060</v>
      </c>
    </row>
    <row r="25" spans="1:9" ht="18" customHeight="1" x14ac:dyDescent="0.2">
      <c r="A25" s="16" t="s">
        <v>48</v>
      </c>
      <c r="B25" s="11" t="s">
        <v>49</v>
      </c>
      <c r="C25" s="12">
        <v>45551</v>
      </c>
      <c r="D25" s="13"/>
      <c r="E25" s="13">
        <f>'[1]SP-26'!Q25</f>
        <v>0</v>
      </c>
      <c r="F25" s="13">
        <f>'[1]SP-25'!Q25</f>
        <v>25200</v>
      </c>
      <c r="G25" s="13">
        <f>'[1]SP-24'!Q25</f>
        <v>0</v>
      </c>
      <c r="H25" s="14"/>
      <c r="I25" s="15">
        <f t="shared" si="0"/>
        <v>25200</v>
      </c>
    </row>
    <row r="26" spans="1:9" ht="18" customHeight="1" x14ac:dyDescent="0.2">
      <c r="A26" s="16" t="s">
        <v>50</v>
      </c>
      <c r="B26" s="11" t="s">
        <v>51</v>
      </c>
      <c r="C26" s="12">
        <v>45579</v>
      </c>
      <c r="D26" s="13"/>
      <c r="E26" s="13">
        <f>'[1]SP-26'!Q26</f>
        <v>0</v>
      </c>
      <c r="F26" s="13">
        <f>'[1]SP-25'!Q26</f>
        <v>141000</v>
      </c>
      <c r="G26" s="13">
        <f>'[1]SP-24'!Q26</f>
        <v>0</v>
      </c>
      <c r="H26" s="14"/>
      <c r="I26" s="15">
        <f t="shared" si="0"/>
        <v>141000</v>
      </c>
    </row>
    <row r="27" spans="1:9" ht="18" customHeight="1" x14ac:dyDescent="0.2">
      <c r="A27" s="5" t="s">
        <v>52</v>
      </c>
      <c r="B27" s="6" t="s">
        <v>53</v>
      </c>
      <c r="C27" s="7">
        <v>45579</v>
      </c>
      <c r="D27" s="8"/>
      <c r="E27" s="8">
        <f>'[1]SP-26'!Q27</f>
        <v>36987.300000000003</v>
      </c>
      <c r="F27" s="8">
        <f>'[1]SP-25'!Q27</f>
        <v>101600</v>
      </c>
      <c r="G27" s="8">
        <f>'[1]SP-24'!Q27</f>
        <v>0</v>
      </c>
      <c r="I27" s="9">
        <f t="shared" si="0"/>
        <v>138587.29999999999</v>
      </c>
    </row>
    <row r="28" spans="1:9" ht="18" customHeight="1" x14ac:dyDescent="0.2">
      <c r="A28" s="16" t="s">
        <v>54</v>
      </c>
      <c r="B28" s="11" t="s">
        <v>55</v>
      </c>
      <c r="C28" s="12">
        <v>45579</v>
      </c>
      <c r="D28" s="13"/>
      <c r="E28" s="13">
        <f>'[1]SP-26'!Q28</f>
        <v>0</v>
      </c>
      <c r="F28" s="13">
        <f>'[1]SP-25'!Q28</f>
        <v>33600</v>
      </c>
      <c r="G28" s="13">
        <f>'[1]SP-24'!Q28</f>
        <v>0</v>
      </c>
      <c r="H28" s="14"/>
      <c r="I28" s="15">
        <f t="shared" si="0"/>
        <v>33600</v>
      </c>
    </row>
    <row r="29" spans="1:9" ht="18" customHeight="1" x14ac:dyDescent="0.2">
      <c r="A29" s="16" t="s">
        <v>56</v>
      </c>
      <c r="B29" s="11" t="s">
        <v>57</v>
      </c>
      <c r="C29" s="12">
        <v>45579</v>
      </c>
      <c r="D29" s="13"/>
      <c r="E29" s="13">
        <f>'[1]SP-26'!Q29</f>
        <v>0</v>
      </c>
      <c r="F29" s="13">
        <f>'[1]SP-25'!Q29</f>
        <v>33600</v>
      </c>
      <c r="G29" s="13">
        <f>'[1]SP-24'!Q29</f>
        <v>0</v>
      </c>
      <c r="H29" s="14"/>
      <c r="I29" s="15">
        <f t="shared" si="0"/>
        <v>33600</v>
      </c>
    </row>
    <row r="30" spans="1:9" ht="18" customHeight="1" x14ac:dyDescent="0.2">
      <c r="A30" s="5" t="s">
        <v>58</v>
      </c>
      <c r="B30" s="6" t="s">
        <v>59</v>
      </c>
      <c r="C30" s="7">
        <v>45579</v>
      </c>
      <c r="D30" s="8"/>
      <c r="E30" s="8">
        <f>'[1]SP-26'!Q30</f>
        <v>36987.300000000003</v>
      </c>
      <c r="F30" s="8">
        <f>'[1]SP-25'!Q30</f>
        <v>89600</v>
      </c>
      <c r="G30" s="8">
        <f>'[1]SP-24'!Q30</f>
        <v>0</v>
      </c>
      <c r="I30" s="9">
        <f t="shared" si="0"/>
        <v>126587.3</v>
      </c>
    </row>
    <row r="31" spans="1:9" ht="18" customHeight="1" x14ac:dyDescent="0.2">
      <c r="A31" s="5" t="s">
        <v>60</v>
      </c>
      <c r="B31" s="6" t="s">
        <v>61</v>
      </c>
      <c r="C31" s="7">
        <v>45600</v>
      </c>
      <c r="D31" s="8"/>
      <c r="E31" s="8">
        <f>'[1]SP-26'!Q31</f>
        <v>27740.475000000002</v>
      </c>
      <c r="F31" s="8">
        <f>'[1]SP-25'!Q31</f>
        <v>89600</v>
      </c>
      <c r="G31" s="8">
        <f>'[1]SP-24'!Q31</f>
        <v>0</v>
      </c>
      <c r="I31" s="9">
        <f t="shared" si="0"/>
        <v>117340.47500000001</v>
      </c>
    </row>
    <row r="32" spans="1:9" ht="18" customHeight="1" x14ac:dyDescent="0.2">
      <c r="A32" s="16" t="s">
        <v>62</v>
      </c>
      <c r="B32" s="11" t="s">
        <v>63</v>
      </c>
      <c r="C32" s="12">
        <v>45600</v>
      </c>
      <c r="D32" s="13"/>
      <c r="E32" s="13">
        <f>'[1]SP-26'!Q32</f>
        <v>0</v>
      </c>
      <c r="F32" s="13">
        <f>'[1]SP-25'!Q32</f>
        <v>0</v>
      </c>
      <c r="G32" s="13">
        <f>'[1]SP-24'!Q32</f>
        <v>0</v>
      </c>
      <c r="H32" s="14"/>
      <c r="I32" s="15">
        <f t="shared" si="0"/>
        <v>0</v>
      </c>
    </row>
    <row r="33" spans="1:9" ht="18" customHeight="1" x14ac:dyDescent="0.2">
      <c r="A33" s="5" t="s">
        <v>64</v>
      </c>
      <c r="B33" s="6" t="s">
        <v>65</v>
      </c>
      <c r="C33" s="7">
        <v>45600</v>
      </c>
      <c r="D33" s="8"/>
      <c r="E33" s="8">
        <f>'[1]SP-26'!Q33</f>
        <v>36987.300000000003</v>
      </c>
      <c r="F33" s="8">
        <f>'[1]SP-25'!Q33</f>
        <v>89600</v>
      </c>
      <c r="G33" s="8">
        <f>'[1]SP-24'!Q33</f>
        <v>0</v>
      </c>
      <c r="I33" s="9">
        <f t="shared" si="0"/>
        <v>126587.3</v>
      </c>
    </row>
    <row r="34" spans="1:9" ht="18" customHeight="1" x14ac:dyDescent="0.2">
      <c r="A34" s="5" t="s">
        <v>66</v>
      </c>
      <c r="B34" s="6" t="s">
        <v>67</v>
      </c>
      <c r="C34" s="7">
        <v>45600</v>
      </c>
      <c r="D34" s="8"/>
      <c r="E34" s="8">
        <f>'[1]SP-26'!Q34</f>
        <v>27740.475000000002</v>
      </c>
      <c r="F34" s="8">
        <f>'[1]SP-25'!Q34</f>
        <v>89600</v>
      </c>
      <c r="G34" s="8">
        <f>'[1]SP-24'!Q34</f>
        <v>0</v>
      </c>
      <c r="I34" s="9">
        <f t="shared" si="0"/>
        <v>117340.47500000001</v>
      </c>
    </row>
    <row r="35" spans="1:9" ht="18" customHeight="1" x14ac:dyDescent="0.2">
      <c r="A35" s="5" t="s">
        <v>68</v>
      </c>
      <c r="B35" s="6" t="s">
        <v>69</v>
      </c>
      <c r="C35" s="7">
        <v>45670</v>
      </c>
      <c r="D35" s="8"/>
      <c r="E35" s="8">
        <f>'[1]SP-26'!Q35</f>
        <v>45000</v>
      </c>
      <c r="F35" s="8">
        <f>'[1]SP-25'!Q35</f>
        <v>71200</v>
      </c>
      <c r="G35" s="8">
        <f>'[1]SP-24'!Q35</f>
        <v>0</v>
      </c>
      <c r="I35" s="9">
        <f t="shared" si="0"/>
        <v>116200</v>
      </c>
    </row>
    <row r="36" spans="1:9" ht="18" customHeight="1" x14ac:dyDescent="0.2">
      <c r="A36" s="16" t="s">
        <v>70</v>
      </c>
      <c r="B36" s="11" t="s">
        <v>71</v>
      </c>
      <c r="C36" s="12">
        <v>45672</v>
      </c>
      <c r="D36" s="13"/>
      <c r="E36" s="13">
        <f>'[1]SP-26'!Q36</f>
        <v>0</v>
      </c>
      <c r="F36" s="13">
        <f>'[1]SP-25'!Q36</f>
        <v>0</v>
      </c>
      <c r="G36" s="13">
        <f>'[1]SP-24'!Q36</f>
        <v>1758922.92</v>
      </c>
      <c r="H36" s="14"/>
      <c r="I36" s="15">
        <f t="shared" si="0"/>
        <v>1758922.92</v>
      </c>
    </row>
    <row r="37" spans="1:9" ht="18" customHeight="1" x14ac:dyDescent="0.2">
      <c r="A37" s="5" t="s">
        <v>72</v>
      </c>
      <c r="B37" s="6" t="s">
        <v>73</v>
      </c>
      <c r="C37" s="7">
        <v>45726</v>
      </c>
      <c r="D37" s="8"/>
      <c r="E37" s="8">
        <f>'[1]SP-26'!Q37</f>
        <v>36987.300000000003</v>
      </c>
      <c r="F37" s="8">
        <f>'[1]SP-25'!Q37</f>
        <v>66000</v>
      </c>
      <c r="G37" s="8">
        <f>'[1]SP-24'!Q37</f>
        <v>0</v>
      </c>
      <c r="I37" s="9">
        <f t="shared" si="0"/>
        <v>102987.3</v>
      </c>
    </row>
    <row r="38" spans="1:9" ht="18" customHeight="1" x14ac:dyDescent="0.2">
      <c r="A38" s="5" t="s">
        <v>74</v>
      </c>
      <c r="B38" s="6" t="s">
        <v>75</v>
      </c>
      <c r="C38" s="7">
        <v>45726</v>
      </c>
      <c r="D38" s="8"/>
      <c r="E38" s="8">
        <f>'[1]SP-26'!Q38</f>
        <v>40500</v>
      </c>
      <c r="F38" s="8">
        <f>'[1]SP-25'!Q38</f>
        <v>64800</v>
      </c>
      <c r="G38" s="8">
        <f>'[1]SP-24'!Q38</f>
        <v>0</v>
      </c>
      <c r="I38" s="9">
        <f t="shared" si="0"/>
        <v>105300</v>
      </c>
    </row>
    <row r="39" spans="1:9" ht="18" customHeight="1" x14ac:dyDescent="0.2">
      <c r="A39" s="5" t="s">
        <v>76</v>
      </c>
      <c r="B39" s="6" t="s">
        <v>77</v>
      </c>
      <c r="C39" s="7">
        <v>45754</v>
      </c>
      <c r="D39" s="8"/>
      <c r="E39" s="8">
        <f>'[1]SP-26'!Q39</f>
        <v>29700</v>
      </c>
      <c r="F39" s="8">
        <f>'[1]SP-25'!Q39</f>
        <v>38400</v>
      </c>
      <c r="G39" s="8">
        <f>'[1]SP-24'!Q39</f>
        <v>0</v>
      </c>
      <c r="I39" s="9">
        <f t="shared" si="0"/>
        <v>68100</v>
      </c>
    </row>
    <row r="40" spans="1:9" ht="18" customHeight="1" x14ac:dyDescent="0.2">
      <c r="A40" s="5" t="s">
        <v>78</v>
      </c>
      <c r="B40" s="6" t="s">
        <v>79</v>
      </c>
      <c r="C40" s="7">
        <v>45778</v>
      </c>
      <c r="D40" s="8"/>
      <c r="E40" s="8">
        <f>'[1]SP-26'!Q40</f>
        <v>39600</v>
      </c>
      <c r="F40" s="8">
        <f>'[1]SP-25'!Q40</f>
        <v>60000</v>
      </c>
      <c r="G40" s="8">
        <f>'[1]SP-24'!Q40</f>
        <v>0</v>
      </c>
      <c r="I40" s="9">
        <f t="shared" si="0"/>
        <v>99600</v>
      </c>
    </row>
    <row r="41" spans="1:9" ht="18" customHeight="1" x14ac:dyDescent="0.2">
      <c r="A41" s="5" t="s">
        <v>80</v>
      </c>
      <c r="B41" s="6" t="s">
        <v>81</v>
      </c>
      <c r="C41" s="7">
        <v>45811</v>
      </c>
      <c r="D41" s="8"/>
      <c r="E41" s="8">
        <f>'[1]SP-26'!Q41</f>
        <v>21973.5</v>
      </c>
      <c r="F41" s="8">
        <f>'[1]SP-25'!Q41</f>
        <v>7600</v>
      </c>
      <c r="G41" s="8">
        <f>'[1]SP-24'!Q41</f>
        <v>0</v>
      </c>
      <c r="I41" s="9">
        <f t="shared" si="0"/>
        <v>29573.5</v>
      </c>
    </row>
    <row r="42" spans="1:9" ht="18" customHeight="1" x14ac:dyDescent="0.2">
      <c r="A42" s="5" t="s">
        <v>82</v>
      </c>
      <c r="B42" s="6" t="s">
        <v>83</v>
      </c>
      <c r="C42" s="7">
        <v>45811</v>
      </c>
      <c r="D42" s="8"/>
      <c r="E42" s="8">
        <f>'[1]SP-26'!Q42</f>
        <v>27000</v>
      </c>
      <c r="F42" s="8">
        <f>'[1]SP-25'!Q42</f>
        <v>7600</v>
      </c>
      <c r="G42" s="8">
        <f>'[1]SP-24'!Q42</f>
        <v>0</v>
      </c>
      <c r="I42" s="9">
        <f t="shared" si="0"/>
        <v>34600</v>
      </c>
    </row>
    <row r="43" spans="1:9" ht="18" customHeight="1" x14ac:dyDescent="0.2">
      <c r="A43" s="5" t="s">
        <v>84</v>
      </c>
      <c r="B43" s="6" t="s">
        <v>85</v>
      </c>
      <c r="C43" s="7">
        <v>45824</v>
      </c>
      <c r="D43" s="8"/>
      <c r="E43" s="8">
        <f>'[1]SP-26'!Q43</f>
        <v>29700</v>
      </c>
      <c r="F43" s="8">
        <f>'[1]SP-25'!Q43</f>
        <v>0</v>
      </c>
      <c r="G43" s="8">
        <f>'[1]SP-24'!Q43</f>
        <v>0</v>
      </c>
      <c r="I43" s="9">
        <f t="shared" si="0"/>
        <v>29700</v>
      </c>
    </row>
    <row r="44" spans="1:9" ht="18" customHeight="1" x14ac:dyDescent="0.2">
      <c r="A44" s="17" t="s">
        <v>86</v>
      </c>
      <c r="B44" s="6" t="s">
        <v>87</v>
      </c>
      <c r="C44" s="7">
        <v>45824</v>
      </c>
      <c r="D44" s="8"/>
      <c r="E44" s="8">
        <f>'[1]SP-26'!Q44</f>
        <v>54000</v>
      </c>
      <c r="F44" s="8">
        <f>'[1]SP-25'!Q44</f>
        <v>0</v>
      </c>
      <c r="G44" s="8">
        <f>'[1]SP-24'!Q44</f>
        <v>0</v>
      </c>
      <c r="I44" s="9">
        <f t="shared" si="0"/>
        <v>54000</v>
      </c>
    </row>
    <row r="45" spans="1:9" ht="18" customHeight="1" x14ac:dyDescent="0.2">
      <c r="A45" s="16" t="s">
        <v>88</v>
      </c>
      <c r="B45" s="11" t="s">
        <v>89</v>
      </c>
      <c r="C45" s="12">
        <v>45826</v>
      </c>
      <c r="D45" s="13"/>
      <c r="E45" s="13">
        <f>'[1]SP-26'!Q45</f>
        <v>0</v>
      </c>
      <c r="F45" s="13">
        <f>'[1]SP-25'!Q45</f>
        <v>0</v>
      </c>
      <c r="G45" s="13">
        <f>'[1]SP-24'!Q45</f>
        <v>0</v>
      </c>
      <c r="H45" s="14"/>
      <c r="I45" s="15">
        <f t="shared" si="0"/>
        <v>0</v>
      </c>
    </row>
    <row r="46" spans="1:9" ht="18" customHeight="1" x14ac:dyDescent="0.2">
      <c r="A46" s="17" t="s">
        <v>90</v>
      </c>
      <c r="B46" s="6" t="s">
        <v>91</v>
      </c>
      <c r="C46" s="7">
        <v>45839</v>
      </c>
      <c r="D46" s="8"/>
      <c r="E46" s="8">
        <f>'[1]SP-26'!Q46</f>
        <v>45000</v>
      </c>
      <c r="F46" s="8">
        <f>'[1]SP-25'!Q46</f>
        <v>0</v>
      </c>
      <c r="G46" s="8">
        <f>'[1]SP-24'!Q46</f>
        <v>0</v>
      </c>
      <c r="I46" s="9">
        <f t="shared" si="0"/>
        <v>45000</v>
      </c>
    </row>
    <row r="47" spans="1:9" ht="18" customHeight="1" x14ac:dyDescent="0.2">
      <c r="A47" s="17" t="s">
        <v>92</v>
      </c>
      <c r="B47" s="6" t="s">
        <v>93</v>
      </c>
      <c r="C47" s="7">
        <v>45894</v>
      </c>
      <c r="D47" s="8"/>
      <c r="E47" s="8">
        <f>'[1]SP-26'!Q47</f>
        <v>10986.75</v>
      </c>
      <c r="F47" s="8">
        <f>'[1]SP-25'!Q47</f>
        <v>0</v>
      </c>
      <c r="G47" s="8">
        <f>'[1]SP-24'!Q47</f>
        <v>0</v>
      </c>
      <c r="I47" s="9">
        <f t="shared" si="0"/>
        <v>10986.75</v>
      </c>
    </row>
    <row r="48" spans="1:9" ht="18" customHeight="1" x14ac:dyDescent="0.2">
      <c r="A48" s="16" t="s">
        <v>94</v>
      </c>
      <c r="B48" s="11" t="s">
        <v>95</v>
      </c>
      <c r="C48" s="12">
        <v>45901</v>
      </c>
      <c r="D48" s="13"/>
      <c r="E48" s="13">
        <f>'[1]SP-26'!Q48</f>
        <v>0</v>
      </c>
      <c r="F48" s="13">
        <f>'[1]SP-25'!Q48</f>
        <v>0</v>
      </c>
      <c r="G48" s="13">
        <f>'[1]SP-24'!Q48</f>
        <v>0</v>
      </c>
      <c r="H48" s="14"/>
      <c r="I48" s="15">
        <f t="shared" si="0"/>
        <v>0</v>
      </c>
    </row>
    <row r="49" spans="1:9" ht="18" customHeight="1" x14ac:dyDescent="0.2">
      <c r="A49" s="17" t="s">
        <v>96</v>
      </c>
      <c r="B49" s="6" t="s">
        <v>97</v>
      </c>
      <c r="C49" s="7">
        <v>45943</v>
      </c>
      <c r="D49" s="8"/>
      <c r="E49" s="8">
        <f>'[1]SP-26'!Q49</f>
        <v>0</v>
      </c>
      <c r="F49" s="8">
        <f>'[1]SP-25'!Q49</f>
        <v>0</v>
      </c>
      <c r="G49" s="8">
        <f>'[1]SP-24'!Q49</f>
        <v>0</v>
      </c>
      <c r="I49" s="9">
        <f t="shared" si="0"/>
        <v>0</v>
      </c>
    </row>
    <row r="50" spans="1:9" ht="18" customHeight="1" x14ac:dyDescent="0.2">
      <c r="A50" s="17" t="s">
        <v>98</v>
      </c>
      <c r="B50" s="6" t="s">
        <v>99</v>
      </c>
      <c r="C50" s="7">
        <v>45950</v>
      </c>
      <c r="D50" s="8"/>
      <c r="E50" s="8">
        <f>'[1]SP-26'!Q50</f>
        <v>16481.475000000002</v>
      </c>
      <c r="F50" s="8">
        <f>'[1]SP-25'!Q50</f>
        <v>0</v>
      </c>
      <c r="G50" s="8">
        <f>'[1]SP-24'!Q50</f>
        <v>0</v>
      </c>
      <c r="I50" s="9">
        <f t="shared" si="0"/>
        <v>16481.475000000002</v>
      </c>
    </row>
    <row r="51" spans="1:9" ht="18" customHeight="1" x14ac:dyDescent="0.2">
      <c r="A51" s="17" t="s">
        <v>100</v>
      </c>
      <c r="B51" s="6" t="s">
        <v>101</v>
      </c>
      <c r="C51" s="7">
        <v>45950</v>
      </c>
      <c r="D51" s="8"/>
      <c r="E51" s="8">
        <f>'[1]SP-26'!Q51</f>
        <v>16481.475000000002</v>
      </c>
      <c r="F51" s="8">
        <f>'[1]SP-25'!Q51</f>
        <v>0</v>
      </c>
      <c r="G51" s="8">
        <f>'[1]SP-24'!Q51</f>
        <v>0</v>
      </c>
      <c r="I51" s="9">
        <f t="shared" si="0"/>
        <v>16481.475000000002</v>
      </c>
    </row>
    <row r="52" spans="1:9" ht="18" customHeight="1" x14ac:dyDescent="0.2">
      <c r="A52" s="17" t="s">
        <v>102</v>
      </c>
      <c r="B52" s="6" t="s">
        <v>103</v>
      </c>
      <c r="C52" s="7">
        <v>45950</v>
      </c>
      <c r="D52" s="8"/>
      <c r="E52" s="8">
        <f>'[1]SP-26'!Q52</f>
        <v>16481.475000000002</v>
      </c>
      <c r="F52" s="8">
        <f>'[1]SP-25'!Q52</f>
        <v>0</v>
      </c>
      <c r="G52" s="8">
        <f>'[1]SP-24'!Q52</f>
        <v>0</v>
      </c>
      <c r="I52" s="9">
        <f t="shared" si="0"/>
        <v>16481.475000000002</v>
      </c>
    </row>
    <row r="53" spans="1:9" ht="18" customHeight="1" x14ac:dyDescent="0.2">
      <c r="A53" s="17" t="s">
        <v>104</v>
      </c>
      <c r="B53" s="6" t="s">
        <v>105</v>
      </c>
      <c r="C53" s="7">
        <v>45950</v>
      </c>
      <c r="D53" s="8"/>
      <c r="E53" s="8">
        <f>'[1]SP-26'!Q53</f>
        <v>16481.475000000002</v>
      </c>
      <c r="F53" s="8">
        <f>'[1]SP-25'!Q53</f>
        <v>0</v>
      </c>
      <c r="G53" s="8">
        <f>'[1]SP-24'!Q53</f>
        <v>0</v>
      </c>
      <c r="I53" s="9">
        <f t="shared" si="0"/>
        <v>16481.475000000002</v>
      </c>
    </row>
    <row r="54" spans="1:9" ht="18" customHeight="1" x14ac:dyDescent="0.2">
      <c r="A54" s="16" t="s">
        <v>106</v>
      </c>
      <c r="B54" s="11" t="s">
        <v>107</v>
      </c>
      <c r="C54" s="12">
        <v>45950</v>
      </c>
      <c r="D54" s="13"/>
      <c r="E54" s="13">
        <f>'[1]SP-26'!Q54</f>
        <v>0</v>
      </c>
      <c r="F54" s="13">
        <f>'[1]SP-25'!Q54</f>
        <v>0</v>
      </c>
      <c r="G54" s="13">
        <f>'[1]SP-24'!Q54</f>
        <v>0</v>
      </c>
      <c r="H54" s="14"/>
      <c r="I54" s="15">
        <f t="shared" si="0"/>
        <v>0</v>
      </c>
    </row>
    <row r="55" spans="1:9" ht="18" customHeight="1" x14ac:dyDescent="0.2">
      <c r="A55" s="17" t="s">
        <v>108</v>
      </c>
      <c r="B55" s="6" t="s">
        <v>109</v>
      </c>
      <c r="C55" s="7">
        <v>45985</v>
      </c>
      <c r="D55" s="8"/>
      <c r="E55" s="8">
        <f>'[1]SP-26'!Q55</f>
        <v>0</v>
      </c>
      <c r="F55" s="8">
        <f>'[1]SP-25'!Q55</f>
        <v>0</v>
      </c>
      <c r="G55" s="8">
        <f>'[1]SP-24'!Q55</f>
        <v>0</v>
      </c>
      <c r="I55" s="9">
        <f t="shared" si="0"/>
        <v>0</v>
      </c>
    </row>
    <row r="56" spans="1:9" ht="18" customHeight="1" x14ac:dyDescent="0.2">
      <c r="A56" s="17" t="s">
        <v>110</v>
      </c>
      <c r="B56" s="6" t="s">
        <v>111</v>
      </c>
      <c r="C56" s="7">
        <v>46006</v>
      </c>
      <c r="D56" s="8"/>
      <c r="E56" s="8">
        <f>'[1]SP-26'!Q56</f>
        <v>0</v>
      </c>
      <c r="F56" s="8">
        <f>'[1]SP-25'!Q56</f>
        <v>0</v>
      </c>
      <c r="G56" s="8">
        <f>'[1]SP-24'!Q56</f>
        <v>0</v>
      </c>
      <c r="I56" s="9">
        <f t="shared" si="0"/>
        <v>0</v>
      </c>
    </row>
    <row r="57" spans="1:9" ht="18" customHeight="1" x14ac:dyDescent="0.2">
      <c r="A57" s="17" t="s">
        <v>112</v>
      </c>
      <c r="B57" s="6" t="s">
        <v>113</v>
      </c>
      <c r="C57" s="7">
        <v>46027</v>
      </c>
      <c r="D57" s="8"/>
      <c r="E57" s="8">
        <f>'[1]SP-26'!Q57</f>
        <v>0</v>
      </c>
      <c r="F57" s="8">
        <f>'[1]SP-25'!Q57</f>
        <v>0</v>
      </c>
      <c r="G57" s="8">
        <f>'[1]SP-24'!Q57</f>
        <v>0</v>
      </c>
      <c r="I57" s="9">
        <f t="shared" si="0"/>
        <v>0</v>
      </c>
    </row>
    <row r="58" spans="1:9" ht="18" customHeight="1" x14ac:dyDescent="0.2">
      <c r="A58" s="16" t="s">
        <v>114</v>
      </c>
      <c r="B58" s="11" t="s">
        <v>115</v>
      </c>
      <c r="C58" s="12">
        <v>46027</v>
      </c>
      <c r="D58" s="13"/>
      <c r="E58" s="13">
        <f>'[1]SP-26'!Q58</f>
        <v>0</v>
      </c>
      <c r="F58" s="13">
        <v>0</v>
      </c>
      <c r="G58" s="13">
        <v>0</v>
      </c>
      <c r="H58" s="14"/>
      <c r="I58" s="15">
        <f t="shared" si="0"/>
        <v>0</v>
      </c>
    </row>
    <row r="59" spans="1:9" ht="18" customHeight="1" x14ac:dyDescent="0.2">
      <c r="A59" s="17" t="s">
        <v>116</v>
      </c>
      <c r="B59" s="6" t="s">
        <v>117</v>
      </c>
      <c r="C59" s="7">
        <v>46027</v>
      </c>
      <c r="D59" s="8"/>
      <c r="E59" s="8">
        <f>'[1]SP-26'!Q59</f>
        <v>0</v>
      </c>
      <c r="F59" s="8">
        <f>'[1]SP-25'!Q59</f>
        <v>0</v>
      </c>
      <c r="G59" s="8">
        <f>'[1]SP-24'!Q59</f>
        <v>0</v>
      </c>
      <c r="I59" s="9">
        <f t="shared" si="0"/>
        <v>0</v>
      </c>
    </row>
    <row r="60" spans="1:9" ht="18" customHeight="1" x14ac:dyDescent="0.2">
      <c r="A60" s="16" t="s">
        <v>118</v>
      </c>
      <c r="B60" s="11" t="s">
        <v>119</v>
      </c>
      <c r="C60" s="12">
        <v>46028</v>
      </c>
      <c r="D60" s="13"/>
      <c r="E60" s="13">
        <f>'[1]SP-26'!Q60</f>
        <v>0</v>
      </c>
      <c r="F60" s="13">
        <f>'[1]SP-25'!Q60</f>
        <v>0</v>
      </c>
      <c r="G60" s="13">
        <f>'[1]SP-24'!Q60</f>
        <v>0</v>
      </c>
      <c r="H60" s="14"/>
      <c r="I60" s="15">
        <f t="shared" si="0"/>
        <v>0</v>
      </c>
    </row>
    <row r="61" spans="1:9" ht="18" customHeight="1" x14ac:dyDescent="0.2">
      <c r="A61" s="18" t="s">
        <v>120</v>
      </c>
      <c r="B61" s="6" t="s">
        <v>121</v>
      </c>
      <c r="C61" s="7">
        <v>46034</v>
      </c>
      <c r="D61" s="8"/>
      <c r="E61" s="8">
        <f>'[1]SP-26'!Q61</f>
        <v>0</v>
      </c>
      <c r="F61" s="8">
        <f>'[1]SP-25'!Q61</f>
        <v>0</v>
      </c>
      <c r="G61" s="8">
        <f>'[1]SP-24'!Q61</f>
        <v>0</v>
      </c>
      <c r="I61" s="9">
        <f t="shared" si="0"/>
        <v>0</v>
      </c>
    </row>
    <row r="62" spans="1:9" ht="18" customHeight="1" x14ac:dyDescent="0.2">
      <c r="A62" s="18" t="s">
        <v>122</v>
      </c>
      <c r="B62" s="6" t="s">
        <v>123</v>
      </c>
      <c r="C62" s="7">
        <v>46034</v>
      </c>
      <c r="D62" s="8"/>
      <c r="E62" s="8">
        <f>'[1]SP-26'!Q62</f>
        <v>0</v>
      </c>
      <c r="F62" s="8">
        <f>'[1]SP-25'!Q62</f>
        <v>0</v>
      </c>
      <c r="G62" s="8">
        <f>'[1]SP-24'!Q62</f>
        <v>0</v>
      </c>
      <c r="I62" s="9">
        <f t="shared" si="0"/>
        <v>0</v>
      </c>
    </row>
    <row r="63" spans="1:9" ht="18" customHeight="1" x14ac:dyDescent="0.2">
      <c r="A63" s="18" t="s">
        <v>124</v>
      </c>
      <c r="B63" s="6" t="s">
        <v>125</v>
      </c>
      <c r="C63" s="7">
        <v>46071</v>
      </c>
      <c r="D63" s="8"/>
      <c r="E63" s="8">
        <f>'[1]SP-26'!Q63</f>
        <v>0</v>
      </c>
      <c r="F63" s="8">
        <f>'[1]SP-25'!Q63</f>
        <v>0</v>
      </c>
      <c r="G63" s="8">
        <f>'[1]SP-24'!Q63</f>
        <v>0</v>
      </c>
      <c r="I63" s="9">
        <f t="shared" si="0"/>
        <v>0</v>
      </c>
    </row>
    <row r="64" spans="1:9" ht="18" customHeight="1" x14ac:dyDescent="0.2">
      <c r="A64" s="18" t="s">
        <v>126</v>
      </c>
      <c r="B64" s="6" t="s">
        <v>127</v>
      </c>
      <c r="C64" s="7">
        <v>46055</v>
      </c>
      <c r="D64" s="8"/>
      <c r="E64" s="8">
        <f>'[1]SP-26'!Q64</f>
        <v>0</v>
      </c>
      <c r="F64" s="8">
        <f>'[1]SP-25'!Q64</f>
        <v>0</v>
      </c>
      <c r="G64" s="8">
        <f>'[1]SP-24'!Q64</f>
        <v>0</v>
      </c>
      <c r="I64" s="9">
        <f t="shared" si="0"/>
        <v>0</v>
      </c>
    </row>
    <row r="65" spans="1:9" ht="18" customHeight="1" x14ac:dyDescent="0.2">
      <c r="A65" s="18" t="s">
        <v>128</v>
      </c>
      <c r="B65" s="6" t="s">
        <v>129</v>
      </c>
      <c r="C65" s="7">
        <v>46062</v>
      </c>
      <c r="D65" s="8"/>
      <c r="E65" s="8">
        <f>'[1]SP-26'!Q65</f>
        <v>0</v>
      </c>
      <c r="F65" s="8">
        <f>'[1]SP-25'!Q65</f>
        <v>0</v>
      </c>
      <c r="G65" s="8">
        <f>'[1]SP-24'!Q65</f>
        <v>0</v>
      </c>
      <c r="I65" s="9">
        <f t="shared" si="0"/>
        <v>0</v>
      </c>
    </row>
    <row r="66" spans="1:9" ht="18" customHeight="1" x14ac:dyDescent="0.2">
      <c r="A66" s="18" t="s">
        <v>130</v>
      </c>
      <c r="B66" s="6" t="s">
        <v>131</v>
      </c>
      <c r="C66" s="7">
        <v>46062</v>
      </c>
      <c r="D66" s="8"/>
      <c r="E66" s="8">
        <f>'[1]SP-26'!Q66</f>
        <v>0</v>
      </c>
      <c r="F66" s="8">
        <f>'[1]SP-25'!Q66</f>
        <v>0</v>
      </c>
      <c r="G66" s="8">
        <f>'[1]SP-24'!Q66</f>
        <v>0</v>
      </c>
      <c r="I66" s="9">
        <f t="shared" si="0"/>
        <v>0</v>
      </c>
    </row>
    <row r="67" spans="1:9" ht="18" customHeight="1" x14ac:dyDescent="0.2">
      <c r="A67" s="18" t="s">
        <v>132</v>
      </c>
      <c r="B67" s="6" t="s">
        <v>133</v>
      </c>
      <c r="C67" s="7">
        <v>46069</v>
      </c>
      <c r="D67" s="8"/>
      <c r="E67" s="8">
        <f>'[1]SP-26'!Q67</f>
        <v>0</v>
      </c>
      <c r="F67" s="8">
        <f>'[1]SP-25'!Q67</f>
        <v>0</v>
      </c>
      <c r="G67" s="8">
        <f>'[1]SP-24'!Q67</f>
        <v>0</v>
      </c>
      <c r="I67" s="9">
        <f t="shared" ref="I67:I68" si="1">SUM(D67:H67)</f>
        <v>0</v>
      </c>
    </row>
    <row r="68" spans="1:9" ht="18" customHeight="1" x14ac:dyDescent="0.2">
      <c r="A68" s="18" t="s">
        <v>134</v>
      </c>
      <c r="B68" s="6" t="s">
        <v>135</v>
      </c>
      <c r="C68" s="7">
        <v>46069</v>
      </c>
      <c r="D68" s="8"/>
      <c r="E68" s="8">
        <f>'[1]SP-26'!Q68</f>
        <v>0</v>
      </c>
      <c r="F68" s="8">
        <f>'[1]SP-25'!Q68</f>
        <v>0</v>
      </c>
      <c r="G68" s="8">
        <f>'[1]SP-24'!Q68</f>
        <v>0</v>
      </c>
      <c r="I68" s="9">
        <f t="shared" si="1"/>
        <v>0</v>
      </c>
    </row>
    <row r="69" spans="1:9" ht="8.25" customHeight="1" x14ac:dyDescent="0.2"/>
    <row r="70" spans="1:9" ht="18" customHeight="1" thickBot="1" x14ac:dyDescent="0.25">
      <c r="D70" s="22"/>
      <c r="E70" s="22">
        <f t="shared" ref="E70:I70" si="2">SUM(E3:E69)</f>
        <v>1382545.7100000007</v>
      </c>
      <c r="F70" s="22">
        <f t="shared" si="2"/>
        <v>3350238.9850000003</v>
      </c>
      <c r="G70" s="22">
        <f t="shared" si="2"/>
        <v>3517845.84</v>
      </c>
      <c r="H70" s="9">
        <f t="shared" si="2"/>
        <v>0</v>
      </c>
      <c r="I70" s="22">
        <f t="shared" si="2"/>
        <v>8250630.5349999974</v>
      </c>
    </row>
    <row r="71" spans="1:9" ht="18" customHeight="1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aqibwalayat92@outlook.com</dc:creator>
  <cp:lastModifiedBy>aqibwalayat92@outlook.com</cp:lastModifiedBy>
  <dcterms:created xsi:type="dcterms:W3CDTF">2026-04-30T10:16:39Z</dcterms:created>
  <dcterms:modified xsi:type="dcterms:W3CDTF">2026-04-30T10:17:03Z</dcterms:modified>
</cp:coreProperties>
</file>